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arthboundtradingcom-my.sharepoint.com/personal/wesley_earthboundtrading_com/Documents/Desktop/"/>
    </mc:Choice>
  </mc:AlternateContent>
  <xr:revisionPtr revIDLastSave="482" documentId="8_{077D5FB6-2D4A-40A1-9894-0426FB250883}" xr6:coauthVersionLast="47" xr6:coauthVersionMax="47" xr10:uidLastSave="{16042FF8-7D49-443A-A9F4-B49B90F074B9}"/>
  <bookViews>
    <workbookView xWindow="-120" yWindow="-120" windowWidth="20730" windowHeight="11040" tabRatio="769" xr2:uid="{ED2C2438-58CC-4629-A096-5916B0848CB5}"/>
  </bookViews>
  <sheets>
    <sheet name="Main" sheetId="1" r:id="rId1"/>
    <sheet name="Item_Code_allocation_table" sheetId="2" r:id="rId2"/>
    <sheet name="DPS_Code_allocation_table" sheetId="3" r:id="rId3"/>
    <sheet name="DCS_Pattern" sheetId="5" r:id="rId4"/>
    <sheet name="Store_Group" sheetId="6" r:id="rId5"/>
    <sheet name="Exclusions" sheetId="4" r:id="rId6"/>
  </sheets>
  <definedNames>
    <definedName name="_xlnm._FilterDatabase" localSheetId="4" hidden="1">Store_Group!$B$3:$D$1532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Z11" i="1" l="1"/>
  <c r="CA17" i="1"/>
  <c r="CA7" i="1"/>
  <c r="CA8" i="1"/>
  <c r="CA9" i="1"/>
  <c r="CA10" i="1"/>
  <c r="CA11" i="1"/>
  <c r="CA12" i="1"/>
  <c r="CA13" i="1"/>
  <c r="CA14" i="1"/>
  <c r="CA15" i="1"/>
  <c r="CA16" i="1"/>
  <c r="CA18" i="1"/>
  <c r="BZ7" i="1"/>
  <c r="BZ8" i="1"/>
  <c r="BZ9" i="1"/>
  <c r="BZ10" i="1"/>
  <c r="BZ12" i="1"/>
  <c r="BZ13" i="1"/>
  <c r="BZ14" i="1"/>
  <c r="BZ15" i="1"/>
  <c r="BZ16" i="1"/>
  <c r="BZ17" i="1"/>
  <c r="BZ18" i="1"/>
  <c r="BY7" i="1"/>
  <c r="BY8" i="1"/>
  <c r="BY9" i="1"/>
  <c r="BY10" i="1"/>
  <c r="BY11" i="1"/>
  <c r="BY12" i="1"/>
  <c r="BY13" i="1"/>
  <c r="BY14" i="1"/>
  <c r="BY15" i="1"/>
  <c r="BY16" i="1"/>
  <c r="BY17" i="1"/>
  <c r="BY18" i="1"/>
  <c r="BX7" i="1"/>
  <c r="BX8" i="1"/>
  <c r="BX9" i="1"/>
  <c r="BX10" i="1"/>
  <c r="BX11" i="1"/>
  <c r="BX12" i="1"/>
  <c r="BX13" i="1"/>
  <c r="BX14" i="1"/>
  <c r="BX15" i="1"/>
  <c r="BX16" i="1"/>
  <c r="BX17" i="1"/>
  <c r="BX18" i="1"/>
  <c r="BW7" i="1"/>
  <c r="BW8" i="1"/>
  <c r="BW9" i="1"/>
  <c r="BW10" i="1"/>
  <c r="BW11" i="1"/>
  <c r="BW12" i="1"/>
  <c r="BW13" i="1"/>
  <c r="BW14" i="1"/>
  <c r="BW15" i="1"/>
  <c r="BW16" i="1"/>
  <c r="BW17" i="1"/>
  <c r="BW18" i="1"/>
  <c r="BU7" i="1"/>
  <c r="BV7" i="1"/>
  <c r="BU8" i="1"/>
  <c r="BV8" i="1"/>
  <c r="BU9" i="1"/>
  <c r="BV9" i="1"/>
  <c r="BU10" i="1"/>
  <c r="BV10" i="1"/>
  <c r="BU11" i="1"/>
  <c r="BV11" i="1"/>
  <c r="BU12" i="1"/>
  <c r="BV12" i="1"/>
  <c r="BU13" i="1"/>
  <c r="BV13" i="1"/>
  <c r="BU14" i="1"/>
  <c r="BV14" i="1"/>
  <c r="BU15" i="1"/>
  <c r="BV15" i="1"/>
  <c r="BU16" i="1"/>
  <c r="BV16" i="1"/>
  <c r="BU17" i="1"/>
  <c r="BV17" i="1"/>
  <c r="BU18" i="1"/>
  <c r="BV18" i="1"/>
  <c r="BT8" i="1"/>
  <c r="BT9" i="1"/>
  <c r="BT10" i="1"/>
  <c r="BT11" i="1"/>
  <c r="BT12" i="1"/>
  <c r="BT13" i="1"/>
  <c r="BT14" i="1"/>
  <c r="BT15" i="1"/>
  <c r="BT16" i="1"/>
  <c r="BT17" i="1"/>
  <c r="BT18" i="1"/>
  <c r="BT7" i="1"/>
  <c r="O9" i="1"/>
  <c r="W9" i="1" s="1"/>
  <c r="O8" i="1"/>
  <c r="Q8" i="1" s="1"/>
  <c r="R7" i="1"/>
  <c r="S7" i="1"/>
  <c r="T7" i="1"/>
  <c r="U7" i="1"/>
  <c r="V7" i="1"/>
  <c r="W7" i="1"/>
  <c r="Q7" i="1"/>
  <c r="CC9" i="1" l="1"/>
  <c r="CD9" i="1" s="1"/>
  <c r="CC8" i="1"/>
  <c r="CD8" i="1" s="1"/>
  <c r="CC13" i="1"/>
  <c r="CD13" i="1" s="1"/>
  <c r="U9" i="1"/>
  <c r="CC12" i="1"/>
  <c r="CD12" i="1" s="1"/>
  <c r="CC16" i="1"/>
  <c r="CD16" i="1" s="1"/>
  <c r="CC15" i="1"/>
  <c r="CD15" i="1" s="1"/>
  <c r="CC14" i="1"/>
  <c r="CD14" i="1" s="1"/>
  <c r="T9" i="1"/>
  <c r="CC11" i="1"/>
  <c r="CD11" i="1" s="1"/>
  <c r="CC7" i="1"/>
  <c r="CD7" i="1" s="1"/>
  <c r="CC18" i="1"/>
  <c r="CD18" i="1" s="1"/>
  <c r="CC17" i="1"/>
  <c r="CD17" i="1" s="1"/>
  <c r="V9" i="1"/>
  <c r="Q9" i="1"/>
  <c r="CC10" i="1"/>
  <c r="CD10" i="1" s="1"/>
  <c r="S9" i="1"/>
  <c r="R9" i="1"/>
  <c r="W8" i="1"/>
  <c r="V8" i="1"/>
  <c r="U8" i="1"/>
  <c r="T8" i="1"/>
  <c r="S8" i="1"/>
  <c r="R8" i="1"/>
  <c r="Y8" i="1" l="1"/>
  <c r="Y9" i="1"/>
  <c r="Y10" i="1"/>
  <c r="Y11" i="1"/>
  <c r="Y12" i="1"/>
  <c r="Y13" i="1"/>
  <c r="Y14" i="1"/>
  <c r="Y15" i="1"/>
  <c r="Y16" i="1"/>
  <c r="Y17" i="1"/>
  <c r="Y18" i="1"/>
  <c r="Y7" i="1"/>
  <c r="Z7" i="1" s="1" a="1"/>
  <c r="Z7" i="1" s="1"/>
  <c r="AI7" i="1" s="1"/>
  <c r="O18" i="1"/>
  <c r="O10" i="1"/>
  <c r="O11" i="1"/>
  <c r="O12" i="1"/>
  <c r="O13" i="1"/>
  <c r="O14" i="1"/>
  <c r="O15" i="1"/>
  <c r="O16" i="1"/>
  <c r="O17" i="1"/>
  <c r="AA15" i="1" l="1" a="1"/>
  <c r="AA15" i="1" s="1"/>
  <c r="Z15" i="1" a="1"/>
  <c r="Z15" i="1" s="1"/>
  <c r="AC15" i="1" a="1"/>
  <c r="AC15" i="1" s="1"/>
  <c r="AG15" i="1" a="1"/>
  <c r="AG15" i="1" s="1"/>
  <c r="AF15" i="1" a="1"/>
  <c r="AF15" i="1" s="1"/>
  <c r="AB15" i="1" a="1"/>
  <c r="AB15" i="1" s="1"/>
  <c r="AE15" i="1" a="1"/>
  <c r="AE15" i="1" s="1"/>
  <c r="AD15" i="1" a="1"/>
  <c r="AD15" i="1" s="1"/>
  <c r="AC12" i="1" a="1"/>
  <c r="AC12" i="1" s="1"/>
  <c r="AE12" i="1" a="1"/>
  <c r="AE12" i="1" s="1"/>
  <c r="AB12" i="1" a="1"/>
  <c r="AB12" i="1" s="1"/>
  <c r="AA12" i="1" a="1"/>
  <c r="AA12" i="1" s="1"/>
  <c r="AJ12" i="1" s="1"/>
  <c r="Z12" i="1" a="1"/>
  <c r="Z12" i="1" s="1"/>
  <c r="AD12" i="1" a="1"/>
  <c r="AD12" i="1" s="1"/>
  <c r="AF12" i="1" a="1"/>
  <c r="AF12" i="1" s="1"/>
  <c r="AG12" i="1" a="1"/>
  <c r="AG12" i="1" s="1"/>
  <c r="U12" i="1"/>
  <c r="V12" i="1"/>
  <c r="W12" i="1"/>
  <c r="R12" i="1"/>
  <c r="Q12" i="1"/>
  <c r="S12" i="1"/>
  <c r="T12" i="1"/>
  <c r="S11" i="1"/>
  <c r="Q11" i="1"/>
  <c r="T11" i="1"/>
  <c r="U11" i="1"/>
  <c r="V11" i="1"/>
  <c r="R11" i="1"/>
  <c r="W11" i="1"/>
  <c r="AC9" i="1" a="1"/>
  <c r="AC9" i="1" s="1"/>
  <c r="AL9" i="1" s="1"/>
  <c r="AD9" i="1" a="1"/>
  <c r="AD9" i="1" s="1"/>
  <c r="AM9" i="1" s="1"/>
  <c r="AB9" i="1" a="1"/>
  <c r="AB9" i="1" s="1"/>
  <c r="AK9" i="1" s="1"/>
  <c r="AA9" i="1" a="1"/>
  <c r="AA9" i="1" s="1"/>
  <c r="AJ9" i="1" s="1"/>
  <c r="AF9" i="1" a="1"/>
  <c r="AF9" i="1" s="1"/>
  <c r="AO9" i="1" s="1"/>
  <c r="Z9" i="1" a="1"/>
  <c r="Z9" i="1" s="1"/>
  <c r="AI9" i="1" s="1"/>
  <c r="AE9" i="1" a="1"/>
  <c r="AE9" i="1" s="1"/>
  <c r="AN9" i="1" s="1"/>
  <c r="AG9" i="1" a="1"/>
  <c r="AG9" i="1" s="1"/>
  <c r="AP9" i="1" s="1"/>
  <c r="AC16" i="1" a="1"/>
  <c r="AC16" i="1" s="1"/>
  <c r="AF16" i="1" a="1"/>
  <c r="AF16" i="1" s="1"/>
  <c r="AB16" i="1" a="1"/>
  <c r="AB16" i="1" s="1"/>
  <c r="AA16" i="1" a="1"/>
  <c r="AA16" i="1" s="1"/>
  <c r="AE16" i="1" a="1"/>
  <c r="AE16" i="1" s="1"/>
  <c r="Z16" i="1" a="1"/>
  <c r="Z16" i="1" s="1"/>
  <c r="AG16" i="1" a="1"/>
  <c r="AG16" i="1" s="1"/>
  <c r="AD16" i="1" a="1"/>
  <c r="AD16" i="1" s="1"/>
  <c r="AG13" i="1" a="1"/>
  <c r="AG13" i="1" s="1"/>
  <c r="AB13" i="1" a="1"/>
  <c r="AB13" i="1" s="1"/>
  <c r="AF13" i="1" a="1"/>
  <c r="AF13" i="1" s="1"/>
  <c r="AE13" i="1" a="1"/>
  <c r="AE13" i="1" s="1"/>
  <c r="AD13" i="1" a="1"/>
  <c r="AD13" i="1" s="1"/>
  <c r="AA13" i="1" a="1"/>
  <c r="AA13" i="1" s="1"/>
  <c r="AC13" i="1" a="1"/>
  <c r="AC13" i="1" s="1"/>
  <c r="Z13" i="1" a="1"/>
  <c r="Z13" i="1" s="1"/>
  <c r="Q13" i="1"/>
  <c r="W13" i="1"/>
  <c r="R13" i="1"/>
  <c r="S13" i="1"/>
  <c r="T13" i="1"/>
  <c r="U13" i="1"/>
  <c r="V13" i="1"/>
  <c r="AG10" i="1" a="1"/>
  <c r="AG10" i="1" s="1"/>
  <c r="AA10" i="1" a="1"/>
  <c r="AA10" i="1" s="1"/>
  <c r="AF10" i="1" a="1"/>
  <c r="AF10" i="1" s="1"/>
  <c r="AB10" i="1" a="1"/>
  <c r="AB10" i="1" s="1"/>
  <c r="AE10" i="1" a="1"/>
  <c r="AE10" i="1" s="1"/>
  <c r="AD10" i="1" a="1"/>
  <c r="AD10" i="1" s="1"/>
  <c r="AC10" i="1" a="1"/>
  <c r="AC10" i="1" s="1"/>
  <c r="Z10" i="1" a="1"/>
  <c r="Z10" i="1" s="1"/>
  <c r="T10" i="1"/>
  <c r="Q10" i="1"/>
  <c r="W10" i="1"/>
  <c r="R10" i="1"/>
  <c r="S10" i="1"/>
  <c r="U10" i="1"/>
  <c r="V10" i="1"/>
  <c r="R18" i="1"/>
  <c r="S18" i="1"/>
  <c r="T18" i="1"/>
  <c r="U18" i="1"/>
  <c r="V18" i="1"/>
  <c r="W18" i="1"/>
  <c r="Q18" i="1"/>
  <c r="AC8" i="1" a="1"/>
  <c r="AC8" i="1" s="1"/>
  <c r="AL8" i="1" s="1"/>
  <c r="AA8" i="1" a="1"/>
  <c r="AA8" i="1" s="1"/>
  <c r="AJ8" i="1" s="1"/>
  <c r="Z8" i="1" a="1"/>
  <c r="Z8" i="1" s="1"/>
  <c r="AI8" i="1" s="1"/>
  <c r="AF8" i="1" a="1"/>
  <c r="AF8" i="1" s="1"/>
  <c r="AO8" i="1" s="1"/>
  <c r="AG8" i="1" a="1"/>
  <c r="AG8" i="1" s="1"/>
  <c r="AP8" i="1" s="1"/>
  <c r="AE8" i="1" a="1"/>
  <c r="AE8" i="1" s="1"/>
  <c r="AN8" i="1" s="1"/>
  <c r="AD8" i="1" a="1"/>
  <c r="AD8" i="1" s="1"/>
  <c r="AM8" i="1" s="1"/>
  <c r="AB8" i="1" a="1"/>
  <c r="AB8" i="1" s="1"/>
  <c r="AK8" i="1" s="1"/>
  <c r="AF17" i="1" a="1"/>
  <c r="AF17" i="1" s="1"/>
  <c r="AE17" i="1" a="1"/>
  <c r="AE17" i="1" s="1"/>
  <c r="AD17" i="1" a="1"/>
  <c r="AD17" i="1" s="1"/>
  <c r="AC17" i="1" a="1"/>
  <c r="AC17" i="1" s="1"/>
  <c r="AA17" i="1" a="1"/>
  <c r="AA17" i="1" s="1"/>
  <c r="AB17" i="1" a="1"/>
  <c r="AB17" i="1" s="1"/>
  <c r="AG17" i="1" a="1"/>
  <c r="AG17" i="1" s="1"/>
  <c r="Z17" i="1" a="1"/>
  <c r="Z17" i="1" s="1"/>
  <c r="S17" i="1"/>
  <c r="V17" i="1"/>
  <c r="Q17" i="1"/>
  <c r="W17" i="1"/>
  <c r="R17" i="1"/>
  <c r="T17" i="1"/>
  <c r="U17" i="1"/>
  <c r="T16" i="1"/>
  <c r="R16" i="1"/>
  <c r="U16" i="1"/>
  <c r="V16" i="1"/>
  <c r="W16" i="1"/>
  <c r="Q16" i="1"/>
  <c r="S16" i="1"/>
  <c r="Q15" i="1"/>
  <c r="R15" i="1"/>
  <c r="S15" i="1"/>
  <c r="U15" i="1"/>
  <c r="T15" i="1"/>
  <c r="V15" i="1"/>
  <c r="W15" i="1"/>
  <c r="AD14" i="1" a="1"/>
  <c r="AD14" i="1" s="1"/>
  <c r="AA14" i="1" a="1"/>
  <c r="AA14" i="1" s="1"/>
  <c r="AG14" i="1" a="1"/>
  <c r="AG14" i="1" s="1"/>
  <c r="AF14" i="1" a="1"/>
  <c r="AF14" i="1" s="1"/>
  <c r="AE14" i="1" a="1"/>
  <c r="AE14" i="1" s="1"/>
  <c r="Z14" i="1" a="1"/>
  <c r="Z14" i="1" s="1"/>
  <c r="AC14" i="1" a="1"/>
  <c r="AC14" i="1" s="1"/>
  <c r="AB14" i="1" a="1"/>
  <c r="AB14" i="1" s="1"/>
  <c r="V14" i="1"/>
  <c r="W14" i="1"/>
  <c r="T14" i="1"/>
  <c r="S14" i="1"/>
  <c r="U14" i="1"/>
  <c r="Q14" i="1"/>
  <c r="R14" i="1"/>
  <c r="AC11" i="1" a="1"/>
  <c r="AC11" i="1" s="1"/>
  <c r="AL11" i="1" s="1"/>
  <c r="Z11" i="1" a="1"/>
  <c r="Z11" i="1" s="1"/>
  <c r="AI11" i="1" s="1"/>
  <c r="AE11" i="1" a="1"/>
  <c r="AE11" i="1" s="1"/>
  <c r="AN11" i="1" s="1"/>
  <c r="AB11" i="1" a="1"/>
  <c r="AB11" i="1" s="1"/>
  <c r="AK11" i="1" s="1"/>
  <c r="AG11" i="1" a="1"/>
  <c r="AG11" i="1" s="1"/>
  <c r="AP11" i="1" s="1"/>
  <c r="AF11" i="1" a="1"/>
  <c r="AF11" i="1" s="1"/>
  <c r="AO11" i="1" s="1"/>
  <c r="AD11" i="1" a="1"/>
  <c r="AD11" i="1" s="1"/>
  <c r="AA11" i="1" a="1"/>
  <c r="AA11" i="1" s="1"/>
  <c r="AG7" i="1" a="1"/>
  <c r="AG7" i="1" s="1"/>
  <c r="AP7" i="1" s="1"/>
  <c r="AF7" i="1" a="1"/>
  <c r="AF7" i="1" s="1"/>
  <c r="AO7" i="1" s="1"/>
  <c r="AE7" i="1" a="1"/>
  <c r="AE7" i="1" s="1"/>
  <c r="AN7" i="1" s="1"/>
  <c r="AB7" i="1" a="1"/>
  <c r="AB7" i="1" s="1"/>
  <c r="AK7" i="1" s="1"/>
  <c r="AD7" i="1" a="1"/>
  <c r="AD7" i="1" s="1"/>
  <c r="AM7" i="1" s="1"/>
  <c r="AA7" i="1" a="1"/>
  <c r="AA7" i="1" s="1"/>
  <c r="AJ7" i="1" s="1"/>
  <c r="AC7" i="1" a="1"/>
  <c r="AC7" i="1" s="1"/>
  <c r="AL7" i="1" s="1"/>
  <c r="AC18" i="1" a="1"/>
  <c r="AC18" i="1" s="1"/>
  <c r="AG18" i="1" a="1"/>
  <c r="AG18" i="1" s="1"/>
  <c r="AF18" i="1" a="1"/>
  <c r="AF18" i="1" s="1"/>
  <c r="AO18" i="1" s="1"/>
  <c r="AE18" i="1" a="1"/>
  <c r="AE18" i="1" s="1"/>
  <c r="Z18" i="1" a="1"/>
  <c r="Z18" i="1" s="1"/>
  <c r="AD18" i="1" a="1"/>
  <c r="AD18" i="1" s="1"/>
  <c r="AB18" i="1" a="1"/>
  <c r="AB18" i="1" s="1"/>
  <c r="AA18" i="1" a="1"/>
  <c r="AA18" i="1" s="1"/>
  <c r="AO14" i="1" l="1"/>
  <c r="AP14" i="1"/>
  <c r="AK13" i="1"/>
  <c r="AN18" i="1"/>
  <c r="AK18" i="1"/>
  <c r="AJ11" i="1"/>
  <c r="AI18" i="1"/>
  <c r="AL17" i="1"/>
  <c r="AJ17" i="1"/>
  <c r="AL18" i="1"/>
  <c r="AJ10" i="1"/>
  <c r="AI10" i="1"/>
  <c r="AP18" i="1"/>
  <c r="AL10" i="1"/>
  <c r="AI14" i="1"/>
  <c r="AN10" i="1"/>
  <c r="AI13" i="1"/>
  <c r="AJ16" i="1"/>
  <c r="AK15" i="1"/>
  <c r="AN14" i="1"/>
  <c r="AK10" i="1"/>
  <c r="AL13" i="1"/>
  <c r="AK16" i="1"/>
  <c r="AO15" i="1"/>
  <c r="AJ13" i="1"/>
  <c r="AI17" i="1"/>
  <c r="AM13" i="1"/>
  <c r="AJ14" i="1"/>
  <c r="AP17" i="1"/>
  <c r="AM12" i="1"/>
  <c r="AK17" i="1"/>
  <c r="AM18" i="1"/>
  <c r="AP13" i="1"/>
  <c r="AK12" i="1"/>
  <c r="AM11" i="1"/>
  <c r="AM17" i="1"/>
  <c r="AM16" i="1"/>
  <c r="AN12" i="1"/>
  <c r="AN17" i="1"/>
  <c r="AP16" i="1"/>
  <c r="AL12" i="1"/>
  <c r="AO17" i="1"/>
  <c r="AI16" i="1"/>
  <c r="AM15" i="1"/>
  <c r="AK14" i="1"/>
  <c r="AL14" i="1"/>
  <c r="AM10" i="1"/>
  <c r="AN16" i="1"/>
  <c r="AN15" i="1"/>
  <c r="AO10" i="1"/>
  <c r="AO16" i="1"/>
  <c r="AP12" i="1"/>
  <c r="AP15" i="1"/>
  <c r="AL16" i="1"/>
  <c r="AO12" i="1"/>
  <c r="AL15" i="1"/>
  <c r="AP10" i="1"/>
  <c r="AN13" i="1"/>
  <c r="AI15" i="1"/>
  <c r="AJ18" i="1"/>
  <c r="AM14" i="1"/>
  <c r="AO13" i="1"/>
  <c r="AI12" i="1"/>
  <c r="AJ15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<sst xmlns="http://schemas.openxmlformats.org/spreadsheetml/2006/main" count="3465" uniqueCount="162">
  <si>
    <t>Description</t>
  </si>
  <si>
    <t>DCS</t>
  </si>
  <si>
    <t>MDQ</t>
  </si>
  <si>
    <t>FL</t>
  </si>
  <si>
    <t>TX</t>
  </si>
  <si>
    <t>CA</t>
  </si>
  <si>
    <t>AZ</t>
  </si>
  <si>
    <t>EBT Store</t>
  </si>
  <si>
    <t>Online Store</t>
  </si>
  <si>
    <t>Item</t>
  </si>
  <si>
    <t>Launch code</t>
  </si>
  <si>
    <t>Istatus</t>
  </si>
  <si>
    <t>Sale Price</t>
  </si>
  <si>
    <t>Case qty</t>
  </si>
  <si>
    <t>EBT Mark down</t>
  </si>
  <si>
    <t>Prop 65 Fail</t>
  </si>
  <si>
    <t>AC BA</t>
  </si>
  <si>
    <t>26 Summer 1 Fashion</t>
  </si>
  <si>
    <t>DeadSKU</t>
  </si>
  <si>
    <t>Y</t>
  </si>
  <si>
    <t>Null</t>
  </si>
  <si>
    <t>AC BA/17-21/No</t>
  </si>
  <si>
    <t>AC HA</t>
  </si>
  <si>
    <t>FashionFocusStore</t>
  </si>
  <si>
    <t>N</t>
  </si>
  <si>
    <t>(blank)</t>
  </si>
  <si>
    <t>Pass</t>
  </si>
  <si>
    <t>AC HA/26-31/No</t>
  </si>
  <si>
    <t>CL WO DR</t>
  </si>
  <si>
    <t>DRESS-GRN COTTON GAUZE-S</t>
  </si>
  <si>
    <t>25 Summer 1 Fashion</t>
  </si>
  <si>
    <t>SpringSummer</t>
  </si>
  <si>
    <t>CL WO DR/46-51/S</t>
  </si>
  <si>
    <t>DRESS-GRN COTTON GAUZE-M</t>
  </si>
  <si>
    <t>CL WO DR/46-51/M</t>
  </si>
  <si>
    <t>DRESS-GRN COTTON GAUZE-L</t>
  </si>
  <si>
    <t>CL WO DR/46-51/L</t>
  </si>
  <si>
    <t>DRESS-GRN COTTON GAUZE-XL</t>
  </si>
  <si>
    <t>CL WO DR/46-51/XL</t>
  </si>
  <si>
    <t>DRESS-GRN COTTON GAUZE-XXL</t>
  </si>
  <si>
    <t>CL WO DR/46-51/2X</t>
  </si>
  <si>
    <t>AC RB</t>
  </si>
  <si>
    <t>LOC REUSE TOTE-KEY WEST MARINE</t>
  </si>
  <si>
    <t>Reorder</t>
  </si>
  <si>
    <t>AC RB/7-10/No</t>
  </si>
  <si>
    <t>AS OI</t>
  </si>
  <si>
    <t>FRAGRANCE OIL-CHINA RAIN</t>
  </si>
  <si>
    <t>AS OI/3-5/No</t>
  </si>
  <si>
    <t>IM BK</t>
  </si>
  <si>
    <t>JOURNAL-LTHR-CHAKRAS-BRN-XL</t>
  </si>
  <si>
    <t>IM BK/91-101/No</t>
  </si>
  <si>
    <t>IM GF</t>
  </si>
  <si>
    <t>INSTRUMENT-KARIMBA-NATURAL</t>
  </si>
  <si>
    <t>Staple</t>
  </si>
  <si>
    <t>IM GF/10-13/No</t>
  </si>
  <si>
    <t>JE WO BR</t>
  </si>
  <si>
    <t>COPPER BRACELETS</t>
  </si>
  <si>
    <t>JE WO BR/5-7/No</t>
  </si>
  <si>
    <t>4-Avg</t>
  </si>
  <si>
    <t>1-IttyBitty</t>
  </si>
  <si>
    <t>SC</t>
  </si>
  <si>
    <t>5-XLg</t>
  </si>
  <si>
    <t>3-Sml</t>
  </si>
  <si>
    <t>2-XSm</t>
  </si>
  <si>
    <t>OK</t>
  </si>
  <si>
    <t xml:space="preserve">RANCHER-STRAW HAT LIGHT </t>
  </si>
  <si>
    <t>METAL PURSE-MOON PHASES GOLD</t>
  </si>
  <si>
    <t>A1</t>
  </si>
  <si>
    <t>A2</t>
  </si>
  <si>
    <t>A3</t>
  </si>
  <si>
    <t>B</t>
  </si>
  <si>
    <t>C</t>
  </si>
  <si>
    <t>D</t>
  </si>
  <si>
    <t>E</t>
  </si>
  <si>
    <t>Final alloc qty</t>
  </si>
  <si>
    <t>Back stock after alloc</t>
  </si>
  <si>
    <t>Steps:</t>
  </si>
  <si>
    <t>Store state:</t>
  </si>
  <si>
    <t>Store type:</t>
  </si>
  <si>
    <t>Store size:</t>
  </si>
  <si>
    <t>Standard</t>
  </si>
  <si>
    <t>Fashion Focus</t>
  </si>
  <si>
    <t>Final adjustment: cut entire allocation of stores based on sales rank by DCS.</t>
  </si>
  <si>
    <t>First adjustment: decrease qtys of all groups by a percentage until the "Back stock after alloc" is &gt; -60.</t>
  </si>
  <si>
    <t>If qty allocated of any group &lt; MDQ then convert to MDQ.</t>
  </si>
  <si>
    <t>DPS Code</t>
  </si>
  <si>
    <t>Item Code</t>
  </si>
  <si>
    <t>Look first for the Item Code allocation table, then look for the DPS Code allocation table.</t>
  </si>
  <si>
    <t>DC available qty</t>
  </si>
  <si>
    <t>DCS-Price-Size Code (DPS Code)</t>
  </si>
  <si>
    <t>Pattern 01</t>
  </si>
  <si>
    <t>Pattern 02</t>
  </si>
  <si>
    <t>Pattern 03</t>
  </si>
  <si>
    <t>Pattern 04</t>
  </si>
  <si>
    <t>Pattern 05</t>
  </si>
  <si>
    <t>Pattern 06</t>
  </si>
  <si>
    <t>Pattern 07</t>
  </si>
  <si>
    <t>Pattern 08</t>
  </si>
  <si>
    <t>Pattern 09</t>
  </si>
  <si>
    <t>Pattern 10</t>
  </si>
  <si>
    <t>Pattern 11</t>
  </si>
  <si>
    <t>Note: Wesley to provide a table with the items available for the weborder with the DC qtys available to allocate.</t>
  </si>
  <si>
    <t>┌&gt; formula to be provided</t>
  </si>
  <si>
    <t>DCS Code</t>
  </si>
  <si>
    <t>AC MI</t>
  </si>
  <si>
    <t>AC WO HR</t>
  </si>
  <si>
    <t>AC WO SC</t>
  </si>
  <si>
    <t>AC WO SU</t>
  </si>
  <si>
    <t>AS BT MI</t>
  </si>
  <si>
    <t>AS CA</t>
  </si>
  <si>
    <t>AS SS</t>
  </si>
  <si>
    <t>AS IB</t>
  </si>
  <si>
    <t>AS IN MI</t>
  </si>
  <si>
    <t>AS IN SC</t>
  </si>
  <si>
    <t>AS OB</t>
  </si>
  <si>
    <t>CL ME OW</t>
  </si>
  <si>
    <t>CL ME PA</t>
  </si>
  <si>
    <t>CL ME SH</t>
  </si>
  <si>
    <t>CL ME SO</t>
  </si>
  <si>
    <t>CL ME TS</t>
  </si>
  <si>
    <t>CL WO OW</t>
  </si>
  <si>
    <t>CL WO PA</t>
  </si>
  <si>
    <t>CL WO SH</t>
  </si>
  <si>
    <t>CL WO SK</t>
  </si>
  <si>
    <t>CL WO SO</t>
  </si>
  <si>
    <t>CL WO TS</t>
  </si>
  <si>
    <t>HD DO CD</t>
  </si>
  <si>
    <t>HD DO DA</t>
  </si>
  <si>
    <t>HD DO SB</t>
  </si>
  <si>
    <t>HD KB</t>
  </si>
  <si>
    <t>HD MW</t>
  </si>
  <si>
    <t>HD RM</t>
  </si>
  <si>
    <t>HD TP</t>
  </si>
  <si>
    <t>HD TX</t>
  </si>
  <si>
    <t>HD WD AC</t>
  </si>
  <si>
    <t>HD WD BF</t>
  </si>
  <si>
    <t>JE ME BR</t>
  </si>
  <si>
    <t>JE ME NK</t>
  </si>
  <si>
    <t>JE ME RI</t>
  </si>
  <si>
    <t>JE WO AK</t>
  </si>
  <si>
    <t>JE WO EA</t>
  </si>
  <si>
    <t>JE WO NK</t>
  </si>
  <si>
    <t>JE WO RI</t>
  </si>
  <si>
    <t>Store code</t>
  </si>
  <si>
    <t>DCS pattern</t>
  </si>
  <si>
    <t>Store group</t>
  </si>
  <si>
    <t>1) Create the DPS Code (department, price &amp; size code)</t>
  </si>
  <si>
    <t>2) Complete the groups allocation (uses 2 tables)</t>
  </si>
  <si>
    <t>3) Enter the DCS pattern (use the DCS_Pattern table)</t>
  </si>
  <si>
    <t>5) Look for the exclusions rules and blockings</t>
  </si>
  <si>
    <t>6) Deduct the Qtys OH+TI and allocate based on the Case Qty</t>
  </si>
  <si>
    <t>7) Adjust for the negatives (2 adjustments)</t>
  </si>
  <si>
    <t>4) Allocate based on the groups each store belongs to (use the table Store_Group)</t>
  </si>
  <si>
    <t>Finding the store group:</t>
  </si>
  <si>
    <t>Allocating the qtys based on the store group:</t>
  </si>
  <si>
    <t>Qty on-hand + in-transit:</t>
  </si>
  <si>
    <t>Allocation qty after exclusions:</t>
  </si>
  <si>
    <t>Item information and qty to allocate per group</t>
  </si>
  <si>
    <t>Weborder project summary</t>
  </si>
  <si>
    <t>Date: 08/25/2026</t>
  </si>
  <si>
    <t>Exclusions table:</t>
  </si>
  <si>
    <t>Allocation before final adjustment: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</si>
</sst>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0"/>
      <name val="Arial"/>
      <family val="2"/>
    </font>
    <font>
      <b/>
      <sz val="11"/>
      <color rgb="FFFF0000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  <font>
      <sz val="10"/>
      <color indexed="8"/>
      <name val="Arial"/>
      <family val="2"/>
    </font>
    <font>
      <sz val="11"/>
      <color rgb="FFFF0000"/>
      <name val="Aptos Narrow"/>
      <family val="2"/>
    </font>
    <font>
      <sz val="8"/>
      <name val="Aptos Narrow"/>
      <family val="2"/>
      <scheme val="minor"/>
    </font>
    <font>
      <sz val="11"/>
      <color indexed="8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FFEAA7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rgb="FFFF3300"/>
        <bgColor indexed="0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1499679555650502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theme="1" tint="0.2499465926084170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indexed="64"/>
      </right>
      <top style="thin">
        <color indexed="64"/>
      </top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 style="thin">
        <color theme="0" tint="-0.24994659260841701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indexed="64"/>
      </bottom>
      <diagonal/>
    </border>
    <border>
      <left style="thin">
        <color theme="0" tint="-0.24994659260841701"/>
      </left>
      <right style="thin">
        <color indexed="64"/>
      </right>
      <top style="thin">
        <color theme="0" tint="-0.24994659260841701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 style="thin">
        <color theme="0" tint="-0.24994659260841701"/>
      </right>
      <top style="thin">
        <color indexed="64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indexed="64"/>
      </bottom>
      <diagonal/>
    </border>
  </borders>
  <cellStyleXfs count="2">
    <xf numFmtId="0" fontId="0" fillId="0" borderId="0"/>
    <xf numFmtId="0" fontId="7" fillId="0" borderId="0"/>
  </cellStyleXfs>
  <cellXfs count="7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8" fontId="0" fillId="0" borderId="0" xfId="0" applyNumberFormat="1" applyAlignment="1">
      <alignment horizontal="center"/>
    </xf>
    <xf numFmtId="0" fontId="0" fillId="0" borderId="1" xfId="0" applyBorder="1"/>
    <xf numFmtId="8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/>
    </xf>
    <xf numFmtId="0" fontId="0" fillId="3" borderId="1" xfId="0" applyFill="1" applyBorder="1" applyAlignment="1">
      <alignment horizontal="center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left" vertical="center" wrapText="1"/>
    </xf>
    <xf numFmtId="8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3" fillId="6" borderId="3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3" fillId="10" borderId="4" xfId="0" applyFont="1" applyFill="1" applyBorder="1" applyAlignment="1">
      <alignment horizontal="center" vertical="center" wrapText="1"/>
    </xf>
    <xf numFmtId="0" fontId="2" fillId="0" borderId="0" xfId="0" applyFont="1"/>
    <xf numFmtId="0" fontId="4" fillId="0" borderId="0" xfId="0" applyFont="1"/>
    <xf numFmtId="0" fontId="0" fillId="0" borderId="0" xfId="0" applyAlignment="1">
      <alignment horizontal="right"/>
    </xf>
    <xf numFmtId="0" fontId="0" fillId="11" borderId="1" xfId="0" applyFill="1" applyBorder="1" applyAlignment="1">
      <alignment horizontal="center"/>
    </xf>
    <xf numFmtId="0" fontId="0" fillId="12" borderId="1" xfId="0" applyFill="1" applyBorder="1" applyAlignment="1">
      <alignment horizontal="center"/>
    </xf>
    <xf numFmtId="0" fontId="5" fillId="13" borderId="1" xfId="0" applyFont="1" applyFill="1" applyBorder="1" applyAlignment="1">
      <alignment horizontal="left" vertical="center" wrapText="1"/>
    </xf>
    <xf numFmtId="0" fontId="5" fillId="14" borderId="1" xfId="0" applyFont="1" applyFill="1" applyBorder="1" applyAlignment="1">
      <alignment horizontal="left"/>
    </xf>
    <xf numFmtId="0" fontId="5" fillId="5" borderId="3" xfId="0" applyFont="1" applyFill="1" applyBorder="1" applyAlignment="1">
      <alignment horizontal="center" wrapText="1"/>
    </xf>
    <xf numFmtId="0" fontId="5" fillId="6" borderId="3" xfId="0" applyFont="1" applyFill="1" applyBorder="1" applyAlignment="1">
      <alignment horizontal="center" wrapText="1"/>
    </xf>
    <xf numFmtId="0" fontId="5" fillId="7" borderId="1" xfId="0" applyFont="1" applyFill="1" applyBorder="1" applyAlignment="1">
      <alignment horizontal="center" wrapText="1"/>
    </xf>
    <xf numFmtId="0" fontId="5" fillId="8" borderId="1" xfId="0" applyFont="1" applyFill="1" applyBorder="1" applyAlignment="1">
      <alignment horizontal="center" wrapText="1"/>
    </xf>
    <xf numFmtId="0" fontId="5" fillId="9" borderId="1" xfId="0" applyFont="1" applyFill="1" applyBorder="1" applyAlignment="1">
      <alignment horizontal="center" wrapText="1"/>
    </xf>
    <xf numFmtId="0" fontId="5" fillId="10" borderId="1" xfId="0" applyFont="1" applyFill="1" applyBorder="1" applyAlignment="1">
      <alignment horizontal="center" wrapText="1"/>
    </xf>
    <xf numFmtId="0" fontId="5" fillId="4" borderId="3" xfId="0" applyFont="1" applyFill="1" applyBorder="1" applyAlignment="1">
      <alignment horizontal="center" wrapText="1"/>
    </xf>
    <xf numFmtId="0" fontId="6" fillId="15" borderId="6" xfId="0" applyFont="1" applyFill="1" applyBorder="1" applyAlignment="1">
      <alignment horizontal="center"/>
    </xf>
    <xf numFmtId="0" fontId="6" fillId="15" borderId="7" xfId="0" applyFont="1" applyFill="1" applyBorder="1" applyAlignment="1">
      <alignment horizontal="center"/>
    </xf>
    <xf numFmtId="0" fontId="6" fillId="15" borderId="9" xfId="0" applyFont="1" applyFill="1" applyBorder="1" applyAlignment="1">
      <alignment horizontal="center"/>
    </xf>
    <xf numFmtId="0" fontId="6" fillId="15" borderId="10" xfId="0" applyFont="1" applyFill="1" applyBorder="1" applyAlignment="1">
      <alignment horizontal="center"/>
    </xf>
    <xf numFmtId="0" fontId="6" fillId="15" borderId="12" xfId="0" applyFont="1" applyFill="1" applyBorder="1" applyAlignment="1">
      <alignment horizontal="center"/>
    </xf>
    <xf numFmtId="0" fontId="6" fillId="15" borderId="13" xfId="0" applyFont="1" applyFill="1" applyBorder="1" applyAlignment="1">
      <alignment horizontal="center"/>
    </xf>
    <xf numFmtId="0" fontId="6" fillId="15" borderId="16" xfId="0" applyFont="1" applyFill="1" applyBorder="1" applyAlignment="1">
      <alignment horizontal="center"/>
    </xf>
    <xf numFmtId="0" fontId="6" fillId="15" borderId="17" xfId="0" applyFont="1" applyFill="1" applyBorder="1" applyAlignment="1">
      <alignment horizontal="center"/>
    </xf>
    <xf numFmtId="0" fontId="6" fillId="15" borderId="18" xfId="0" applyFont="1" applyFill="1" applyBorder="1" applyAlignment="1">
      <alignment horizontal="center"/>
    </xf>
    <xf numFmtId="0" fontId="6" fillId="15" borderId="5" xfId="0" applyFont="1" applyFill="1" applyBorder="1" applyAlignment="1">
      <alignment horizontal="left"/>
    </xf>
    <xf numFmtId="0" fontId="6" fillId="15" borderId="8" xfId="0" applyFont="1" applyFill="1" applyBorder="1" applyAlignment="1">
      <alignment horizontal="left"/>
    </xf>
    <xf numFmtId="0" fontId="6" fillId="15" borderId="11" xfId="0" applyFont="1" applyFill="1" applyBorder="1" applyAlignment="1">
      <alignment horizontal="left"/>
    </xf>
    <xf numFmtId="0" fontId="1" fillId="17" borderId="14" xfId="1" applyFont="1" applyFill="1" applyBorder="1" applyAlignment="1">
      <alignment horizontal="left"/>
    </xf>
    <xf numFmtId="0" fontId="1" fillId="17" borderId="14" xfId="1" applyFont="1" applyFill="1" applyBorder="1" applyAlignment="1">
      <alignment horizontal="center"/>
    </xf>
    <xf numFmtId="1" fontId="10" fillId="18" borderId="15" xfId="1" applyNumberFormat="1" applyFont="1" applyFill="1" applyBorder="1" applyAlignment="1">
      <alignment horizontal="left"/>
    </xf>
    <xf numFmtId="1" fontId="10" fillId="18" borderId="15" xfId="1" applyNumberFormat="1" applyFont="1" applyFill="1" applyBorder="1" applyAlignment="1">
      <alignment horizontal="center"/>
    </xf>
    <xf numFmtId="1" fontId="0" fillId="0" borderId="0" xfId="0" applyNumberFormat="1"/>
    <xf numFmtId="0" fontId="1" fillId="16" borderId="1" xfId="0" applyFont="1" applyFill="1" applyBorder="1" applyAlignment="1">
      <alignment horizontal="center" vertical="center"/>
    </xf>
    <xf numFmtId="0" fontId="0" fillId="18" borderId="1" xfId="0" applyFill="1" applyBorder="1" applyAlignment="1">
      <alignment horizontal="center"/>
    </xf>
    <xf numFmtId="0" fontId="11" fillId="3" borderId="1" xfId="0" applyFont="1" applyFill="1" applyBorder="1" applyAlignment="1">
      <alignment horizontal="center"/>
    </xf>
    <xf numFmtId="0" fontId="2" fillId="4" borderId="0" xfId="0" applyFont="1" applyFill="1"/>
    <xf numFmtId="0" fontId="0" fillId="4" borderId="0" xfId="0" applyFill="1"/>
    <xf numFmtId="0" fontId="2" fillId="19" borderId="0" xfId="0" applyFont="1" applyFill="1"/>
    <xf numFmtId="0" fontId="0" fillId="19" borderId="0" xfId="0" applyFill="1"/>
    <xf numFmtId="0" fontId="2" fillId="10" borderId="0" xfId="0" applyFont="1" applyFill="1"/>
    <xf numFmtId="0" fontId="0" fillId="10" borderId="0" xfId="0" applyFill="1"/>
    <xf numFmtId="0" fontId="2" fillId="20" borderId="0" xfId="0" applyFont="1" applyFill="1"/>
    <xf numFmtId="0" fontId="0" fillId="20" borderId="0" xfId="0" applyFill="1"/>
    <xf numFmtId="0" fontId="0" fillId="21" borderId="0" xfId="0" applyFill="1"/>
    <xf numFmtId="0" fontId="0" fillId="21" borderId="0" xfId="0" applyFill="1" applyAlignment="1">
      <alignment horizontal="left"/>
    </xf>
    <xf numFmtId="8" fontId="0" fillId="21" borderId="0" xfId="0" applyNumberFormat="1" applyFill="1" applyAlignment="1">
      <alignment horizontal="center"/>
    </xf>
    <xf numFmtId="0" fontId="0" fillId="21" borderId="0" xfId="0" applyFill="1" applyAlignment="1">
      <alignment horizontal="center"/>
    </xf>
    <xf numFmtId="0" fontId="8" fillId="21" borderId="0" xfId="0" applyFont="1" applyFill="1"/>
    <xf numFmtId="0" fontId="2" fillId="12" borderId="0" xfId="0" applyFont="1" applyFill="1"/>
    <xf numFmtId="0" fontId="0" fillId="12" borderId="0" xfId="0" applyFill="1"/>
    <xf numFmtId="0" fontId="2" fillId="22" borderId="0" xfId="0" applyFont="1" applyFill="1" applyAlignment="1">
      <alignment horizontal="left"/>
    </xf>
    <xf numFmtId="0" fontId="0" fillId="22" borderId="0" xfId="0" applyFill="1" applyAlignment="1">
      <alignment horizontal="center"/>
    </xf>
    <xf numFmtId="0" fontId="5" fillId="23" borderId="1" xfId="0" applyFont="1" applyFill="1" applyBorder="1" applyAlignment="1">
      <alignment horizontal="left" vertical="center" wrapText="1"/>
    </xf>
    <xf numFmtId="0" fontId="0" fillId="24" borderId="1" xfId="0" applyFill="1" applyBorder="1" applyAlignment="1">
      <alignment horizontal="left"/>
    </xf>
    <xf numFmtId="0" fontId="0" fillId="24" borderId="1" xfId="0" applyFill="1" applyBorder="1" applyAlignment="1">
      <alignment horizontal="center"/>
    </xf>
    <xf numFmtId="0" fontId="5" fillId="23" borderId="1" xfId="0" applyFont="1" applyFill="1" applyBorder="1" applyAlignment="1">
      <alignment horizontal="center" vertical="center"/>
    </xf>
  </cellXfs>
  <cellStyles count="2">
    <cellStyle name="Normal" xfId="0" builtinId="0"/>
    <cellStyle name="Normal_Patterns" xfId="1" xr:uid="{44EF9362-7ADE-4150-A5A1-F5787E3A2B9F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5050"/>
      <color rgb="FFFF7C80"/>
      <color rgb="FFCCCCFF"/>
      <color rgb="FFCCFFCC"/>
      <color rgb="FFFF9999"/>
      <color rgb="FF00FF00"/>
      <color rgb="FFFF3300"/>
      <color rgb="FFFFEAA7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441722</xdr:colOff>
      <xdr:row>2</xdr:row>
      <xdr:rowOff>59532</xdr:rowOff>
    </xdr:from>
    <xdr:to>
      <xdr:col>16</xdr:col>
      <xdr:colOff>369094</xdr:colOff>
      <xdr:row>3</xdr:row>
      <xdr:rowOff>153591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E87A878-5D97-1C83-9706-64B221E8245A}"/>
            </a:ext>
          </a:extLst>
        </xdr:cNvPr>
        <xdr:cNvSpPr txBox="1"/>
      </xdr:nvSpPr>
      <xdr:spPr>
        <a:xfrm>
          <a:off x="10990660" y="488157"/>
          <a:ext cx="1975247" cy="33218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1100" b="1">
              <a:solidFill>
                <a:srgbClr val="FF0000"/>
              </a:solidFill>
            </a:rPr>
            <a:t>Step 01)</a:t>
          </a:r>
          <a:r>
            <a:rPr lang="en-US" sz="1100" b="1" baseline="0">
              <a:solidFill>
                <a:srgbClr val="FF0000"/>
              </a:solidFill>
            </a:rPr>
            <a:t> </a:t>
          </a:r>
          <a:r>
            <a:rPr lang="en-US" sz="1100" baseline="0"/>
            <a:t>Create the DPS Code.</a:t>
          </a:r>
          <a:endParaRPr lang="en-US" sz="1100"/>
        </a:p>
      </xdr:txBody>
    </xdr:sp>
    <xdr:clientData/>
  </xdr:twoCellAnchor>
  <xdr:twoCellAnchor>
    <xdr:from>
      <xdr:col>17</xdr:col>
      <xdr:colOff>130968</xdr:colOff>
      <xdr:row>2</xdr:row>
      <xdr:rowOff>59532</xdr:rowOff>
    </xdr:from>
    <xdr:to>
      <xdr:col>21</xdr:col>
      <xdr:colOff>214312</xdr:colOff>
      <xdr:row>3</xdr:row>
      <xdr:rowOff>153591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DFB755B-FAFA-4C87-8F85-8EBD54996D8C}"/>
            </a:ext>
          </a:extLst>
        </xdr:cNvPr>
        <xdr:cNvSpPr txBox="1"/>
      </xdr:nvSpPr>
      <xdr:spPr>
        <a:xfrm>
          <a:off x="13334999" y="488157"/>
          <a:ext cx="2512219" cy="33218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1100" b="1">
              <a:solidFill>
                <a:srgbClr val="FF0000"/>
              </a:solidFill>
            </a:rPr>
            <a:t>Step 02)</a:t>
          </a:r>
          <a:r>
            <a:rPr lang="en-US" sz="1100" b="1" baseline="0">
              <a:solidFill>
                <a:srgbClr val="FF0000"/>
              </a:solidFill>
            </a:rPr>
            <a:t> </a:t>
          </a:r>
          <a:r>
            <a:rPr lang="en-US" sz="1100" baseline="0"/>
            <a:t>Complete the groups allocation.</a:t>
          </a:r>
          <a:endParaRPr lang="en-US" sz="1100"/>
        </a:p>
      </xdr:txBody>
    </xdr:sp>
    <xdr:clientData/>
  </xdr:twoCellAnchor>
  <xdr:twoCellAnchor>
    <xdr:from>
      <xdr:col>23</xdr:col>
      <xdr:colOff>607212</xdr:colOff>
      <xdr:row>2</xdr:row>
      <xdr:rowOff>59532</xdr:rowOff>
    </xdr:from>
    <xdr:to>
      <xdr:col>25</xdr:col>
      <xdr:colOff>690563</xdr:colOff>
      <xdr:row>3</xdr:row>
      <xdr:rowOff>150591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25477E58-78EA-4933-ABC7-E77E5B407502}"/>
            </a:ext>
          </a:extLst>
        </xdr:cNvPr>
        <xdr:cNvSpPr txBox="1"/>
      </xdr:nvSpPr>
      <xdr:spPr>
        <a:xfrm>
          <a:off x="17454556" y="488157"/>
          <a:ext cx="2012163" cy="32918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1100" b="1">
              <a:solidFill>
                <a:srgbClr val="FF0000"/>
              </a:solidFill>
            </a:rPr>
            <a:t>Step 03)</a:t>
          </a:r>
          <a:r>
            <a:rPr lang="en-US" sz="1100" b="1" baseline="0">
              <a:solidFill>
                <a:srgbClr val="FF0000"/>
              </a:solidFill>
            </a:rPr>
            <a:t> </a:t>
          </a:r>
          <a:r>
            <a:rPr lang="en-US" sz="1100" baseline="0"/>
            <a:t>Enter the DCS pattern.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B407E-8B98-4F5E-8482-00301484FC18}">
  <dimension ref="B2:CD33"/>
  <sheetViews>
    <sheetView tabSelected="1" zoomScale="80" zoomScaleNormal="80" workbookViewId="0"/>
  </sheetViews>
  <sheetFormatPr defaultRowHeight="15" x14ac:dyDescent="0.25"/>
  <cols>
    <col min="1" max="1" width="1.7109375" customWidth="1"/>
    <col min="2" max="2" width="3.42578125" style="2" customWidth="1"/>
    <col min="3" max="3" width="10.28515625" customWidth="1"/>
    <col min="4" max="4" width="7" style="2" customWidth="1"/>
    <col min="5" max="5" width="33" customWidth="1"/>
    <col min="6" max="6" width="19.85546875" customWidth="1"/>
    <col min="7" max="7" width="17.5703125" customWidth="1"/>
    <col min="8" max="8" width="9.140625" style="3"/>
    <col min="9" max="11" width="9.140625" style="1"/>
    <col min="12" max="12" width="10.85546875" style="1" customWidth="1"/>
    <col min="13" max="13" width="8.85546875" style="1" customWidth="1"/>
    <col min="14" max="14" width="9.140625" style="1"/>
    <col min="15" max="15" width="10.85546875" style="2" customWidth="1"/>
    <col min="16" max="16" width="19.85546875" style="2" customWidth="1"/>
    <col min="17" max="23" width="9.140625" style="1"/>
    <col min="25" max="25" width="19.85546875" style="2" customWidth="1"/>
    <col min="26" max="33" width="13.42578125" style="1" customWidth="1"/>
    <col min="35" max="42" width="13.42578125" style="1" customWidth="1"/>
    <col min="44" max="51" width="13.42578125" style="1" customWidth="1"/>
    <col min="53" max="60" width="13.42578125" style="1" customWidth="1"/>
    <col min="62" max="69" width="13.42578125" style="1" customWidth="1"/>
    <col min="71" max="79" width="13.42578125" style="1" customWidth="1"/>
    <col min="80" max="82" width="12.85546875" style="1" customWidth="1"/>
    <col min="83" max="83" width="1.7109375" customWidth="1"/>
  </cols>
  <sheetData>
    <row r="2" spans="2:82" x14ac:dyDescent="0.25">
      <c r="C2" s="22" t="s">
        <v>159</v>
      </c>
      <c r="AQ2" s="24" t="s">
        <v>78</v>
      </c>
      <c r="AR2" s="25" t="s">
        <v>81</v>
      </c>
      <c r="AS2" s="6" t="s">
        <v>80</v>
      </c>
      <c r="AT2" s="6" t="s">
        <v>80</v>
      </c>
      <c r="AU2" s="6" t="s">
        <v>80</v>
      </c>
      <c r="AV2" s="6" t="s">
        <v>80</v>
      </c>
      <c r="AW2" s="6" t="s">
        <v>80</v>
      </c>
      <c r="AX2" s="6" t="s">
        <v>80</v>
      </c>
      <c r="AY2" s="6" t="s">
        <v>80</v>
      </c>
    </row>
    <row r="3" spans="2:82" x14ac:dyDescent="0.25">
      <c r="C3" s="22" t="s">
        <v>158</v>
      </c>
      <c r="Z3"/>
      <c r="AA3"/>
      <c r="AB3"/>
      <c r="AC3"/>
      <c r="AD3"/>
      <c r="AE3"/>
      <c r="AF3"/>
      <c r="AG3"/>
      <c r="AI3"/>
      <c r="AJ3"/>
      <c r="AK3"/>
      <c r="AL3"/>
      <c r="AM3"/>
      <c r="AN3"/>
      <c r="AO3"/>
      <c r="AP3"/>
      <c r="AQ3" s="24" t="s">
        <v>77</v>
      </c>
      <c r="AR3" s="6" t="s">
        <v>3</v>
      </c>
      <c r="AS3" s="6" t="s">
        <v>4</v>
      </c>
      <c r="AT3" s="6" t="s">
        <v>64</v>
      </c>
      <c r="AU3" s="6" t="s">
        <v>60</v>
      </c>
      <c r="AV3" s="10" t="s">
        <v>5</v>
      </c>
      <c r="AW3" s="10" t="s">
        <v>5</v>
      </c>
      <c r="AX3" s="6" t="s">
        <v>4</v>
      </c>
      <c r="AY3" s="6" t="s">
        <v>6</v>
      </c>
      <c r="BA3"/>
      <c r="BB3"/>
      <c r="BC3"/>
      <c r="BD3"/>
      <c r="BE3"/>
      <c r="BF3"/>
      <c r="BG3"/>
      <c r="BH3"/>
      <c r="BI3" s="24"/>
      <c r="BJ3"/>
      <c r="BK3"/>
      <c r="BL3"/>
      <c r="BM3"/>
      <c r="BN3"/>
      <c r="BO3"/>
      <c r="BP3"/>
      <c r="BQ3"/>
      <c r="BR3" s="24"/>
      <c r="BT3"/>
      <c r="BU3"/>
      <c r="BV3"/>
      <c r="BW3"/>
      <c r="BX3"/>
      <c r="BY3"/>
      <c r="BZ3"/>
      <c r="CA3"/>
    </row>
    <row r="4" spans="2:82" x14ac:dyDescent="0.25">
      <c r="Z4"/>
      <c r="AA4"/>
      <c r="AB4"/>
      <c r="AC4"/>
      <c r="AD4"/>
      <c r="AE4"/>
      <c r="AF4"/>
      <c r="AG4"/>
      <c r="AI4"/>
      <c r="AJ4"/>
      <c r="AK4"/>
      <c r="AL4"/>
      <c r="AM4"/>
      <c r="AN4"/>
      <c r="AO4"/>
      <c r="AP4"/>
      <c r="AQ4" s="24" t="s">
        <v>79</v>
      </c>
      <c r="AR4" s="6" t="s">
        <v>58</v>
      </c>
      <c r="AS4" s="6" t="s">
        <v>58</v>
      </c>
      <c r="AT4" s="6" t="s">
        <v>63</v>
      </c>
      <c r="AU4" s="26" t="s">
        <v>59</v>
      </c>
      <c r="AV4" s="6" t="s">
        <v>62</v>
      </c>
      <c r="AW4" s="6" t="s">
        <v>58</v>
      </c>
      <c r="AX4" s="6" t="s">
        <v>61</v>
      </c>
      <c r="AY4" s="26" t="s">
        <v>59</v>
      </c>
      <c r="BA4"/>
      <c r="BB4"/>
      <c r="BC4"/>
      <c r="BD4"/>
      <c r="BE4"/>
      <c r="BF4"/>
      <c r="BG4"/>
      <c r="BH4"/>
      <c r="BI4" s="24"/>
      <c r="BJ4"/>
      <c r="BK4"/>
      <c r="BL4"/>
      <c r="BM4"/>
      <c r="BN4"/>
      <c r="BO4"/>
      <c r="BP4"/>
      <c r="BQ4"/>
      <c r="BR4" s="24"/>
      <c r="BT4"/>
      <c r="BU4"/>
      <c r="BV4"/>
      <c r="BW4"/>
      <c r="BX4"/>
      <c r="BY4"/>
      <c r="BZ4"/>
      <c r="CA4"/>
    </row>
    <row r="5" spans="2:82" x14ac:dyDescent="0.25">
      <c r="C5" s="64" t="s">
        <v>157</v>
      </c>
      <c r="D5" s="65"/>
      <c r="E5" s="64"/>
      <c r="F5" s="64"/>
      <c r="G5" s="64"/>
      <c r="H5" s="66"/>
      <c r="I5" s="67"/>
      <c r="J5" s="67"/>
      <c r="K5" s="67"/>
      <c r="L5" s="67"/>
      <c r="M5" s="67"/>
      <c r="N5" s="67"/>
      <c r="O5" s="65"/>
      <c r="P5" s="68" t="s">
        <v>102</v>
      </c>
      <c r="Q5" s="67"/>
      <c r="R5" s="67"/>
      <c r="S5" s="67"/>
      <c r="T5" s="67"/>
      <c r="U5" s="67"/>
      <c r="V5" s="67"/>
      <c r="W5" s="67"/>
      <c r="Y5" s="69" t="s">
        <v>153</v>
      </c>
      <c r="Z5" s="70"/>
      <c r="AA5" s="70"/>
      <c r="AB5" s="70"/>
      <c r="AC5" s="70"/>
      <c r="AD5" s="70"/>
      <c r="AE5" s="70"/>
      <c r="AF5" s="70"/>
      <c r="AG5" s="70"/>
      <c r="AI5" s="62" t="s">
        <v>154</v>
      </c>
      <c r="AJ5" s="63"/>
      <c r="AK5" s="63"/>
      <c r="AL5" s="63"/>
      <c r="AM5" s="63"/>
      <c r="AN5" s="63"/>
      <c r="AO5" s="63"/>
      <c r="AP5" s="63"/>
      <c r="AR5" s="71" t="s">
        <v>160</v>
      </c>
      <c r="AS5" s="72"/>
      <c r="AT5" s="72"/>
      <c r="AU5" s="72"/>
      <c r="AV5" s="72"/>
      <c r="AW5" s="72"/>
      <c r="AX5" s="72"/>
      <c r="AY5" s="72"/>
      <c r="BA5" s="60" t="s">
        <v>156</v>
      </c>
      <c r="BB5" s="61"/>
      <c r="BC5" s="61"/>
      <c r="BD5" s="61"/>
      <c r="BE5" s="61"/>
      <c r="BF5" s="61"/>
      <c r="BG5" s="61"/>
      <c r="BH5" s="61"/>
      <c r="BI5" s="24"/>
      <c r="BJ5" s="58" t="s">
        <v>155</v>
      </c>
      <c r="BK5" s="59"/>
      <c r="BL5" s="59"/>
      <c r="BM5" s="59"/>
      <c r="BN5" s="59"/>
      <c r="BO5" s="59"/>
      <c r="BP5" s="59"/>
      <c r="BQ5" s="59"/>
      <c r="BR5" s="24"/>
      <c r="BS5" s="56" t="s">
        <v>161</v>
      </c>
      <c r="BT5" s="57"/>
      <c r="BU5" s="57"/>
      <c r="BV5" s="57"/>
      <c r="BW5" s="57"/>
      <c r="BX5" s="57"/>
      <c r="BY5" s="57"/>
      <c r="BZ5" s="57"/>
      <c r="CA5" s="57"/>
    </row>
    <row r="6" spans="2:82" s="7" customFormat="1" ht="30" customHeight="1" x14ac:dyDescent="0.25">
      <c r="B6" s="8"/>
      <c r="C6" s="11" t="s">
        <v>1</v>
      </c>
      <c r="D6" s="12" t="s">
        <v>9</v>
      </c>
      <c r="E6" s="11" t="s">
        <v>0</v>
      </c>
      <c r="F6" s="11" t="s">
        <v>10</v>
      </c>
      <c r="G6" s="11" t="s">
        <v>11</v>
      </c>
      <c r="H6" s="13" t="s">
        <v>12</v>
      </c>
      <c r="I6" s="14" t="s">
        <v>13</v>
      </c>
      <c r="J6" s="14" t="s">
        <v>2</v>
      </c>
      <c r="K6" s="14" t="s">
        <v>7</v>
      </c>
      <c r="L6" s="14" t="s">
        <v>8</v>
      </c>
      <c r="M6" s="14" t="s">
        <v>14</v>
      </c>
      <c r="N6" s="14" t="s">
        <v>15</v>
      </c>
      <c r="O6" s="27" t="s">
        <v>86</v>
      </c>
      <c r="P6" s="27" t="s">
        <v>85</v>
      </c>
      <c r="Q6" s="15" t="s">
        <v>67</v>
      </c>
      <c r="R6" s="16" t="s">
        <v>68</v>
      </c>
      <c r="S6" s="17" t="s">
        <v>69</v>
      </c>
      <c r="T6" s="18" t="s">
        <v>70</v>
      </c>
      <c r="U6" s="19" t="s">
        <v>71</v>
      </c>
      <c r="V6" s="20" t="s">
        <v>72</v>
      </c>
      <c r="W6" s="21" t="s">
        <v>73</v>
      </c>
      <c r="Y6" s="73" t="s">
        <v>144</v>
      </c>
      <c r="Z6" s="53">
        <v>201</v>
      </c>
      <c r="AA6" s="53">
        <v>301</v>
      </c>
      <c r="AB6" s="53">
        <v>392</v>
      </c>
      <c r="AC6" s="53">
        <v>402</v>
      </c>
      <c r="AD6" s="53">
        <v>442</v>
      </c>
      <c r="AE6" s="53">
        <v>450</v>
      </c>
      <c r="AF6" s="53">
        <v>501</v>
      </c>
      <c r="AG6" s="53">
        <v>543</v>
      </c>
      <c r="AI6" s="53">
        <v>201</v>
      </c>
      <c r="AJ6" s="53">
        <v>301</v>
      </c>
      <c r="AK6" s="53">
        <v>392</v>
      </c>
      <c r="AL6" s="53">
        <v>402</v>
      </c>
      <c r="AM6" s="53">
        <v>442</v>
      </c>
      <c r="AN6" s="53">
        <v>450</v>
      </c>
      <c r="AO6" s="53">
        <v>501</v>
      </c>
      <c r="AP6" s="53">
        <v>543</v>
      </c>
      <c r="AR6" s="53">
        <v>201</v>
      </c>
      <c r="AS6" s="53">
        <v>301</v>
      </c>
      <c r="AT6" s="53">
        <v>392</v>
      </c>
      <c r="AU6" s="53">
        <v>402</v>
      </c>
      <c r="AV6" s="53">
        <v>442</v>
      </c>
      <c r="AW6" s="53">
        <v>450</v>
      </c>
      <c r="AX6" s="53">
        <v>501</v>
      </c>
      <c r="AY6" s="53">
        <v>543</v>
      </c>
      <c r="BA6" s="53">
        <v>201</v>
      </c>
      <c r="BB6" s="53">
        <v>301</v>
      </c>
      <c r="BC6" s="53">
        <v>392</v>
      </c>
      <c r="BD6" s="53">
        <v>402</v>
      </c>
      <c r="BE6" s="53">
        <v>442</v>
      </c>
      <c r="BF6" s="53">
        <v>450</v>
      </c>
      <c r="BG6" s="53">
        <v>501</v>
      </c>
      <c r="BH6" s="53">
        <v>543</v>
      </c>
      <c r="BJ6" s="53">
        <v>201</v>
      </c>
      <c r="BK6" s="53">
        <v>301</v>
      </c>
      <c r="BL6" s="53">
        <v>392</v>
      </c>
      <c r="BM6" s="53">
        <v>402</v>
      </c>
      <c r="BN6" s="53">
        <v>442</v>
      </c>
      <c r="BO6" s="53">
        <v>450</v>
      </c>
      <c r="BP6" s="53">
        <v>501</v>
      </c>
      <c r="BQ6" s="53">
        <v>543</v>
      </c>
      <c r="BS6" s="76" t="s">
        <v>13</v>
      </c>
      <c r="BT6" s="53">
        <v>201</v>
      </c>
      <c r="BU6" s="53">
        <v>301</v>
      </c>
      <c r="BV6" s="53">
        <v>392</v>
      </c>
      <c r="BW6" s="53">
        <v>402</v>
      </c>
      <c r="BX6" s="53">
        <v>442</v>
      </c>
      <c r="BY6" s="53">
        <v>450</v>
      </c>
      <c r="BZ6" s="53">
        <v>501</v>
      </c>
      <c r="CA6" s="53">
        <v>543</v>
      </c>
      <c r="CB6" s="14" t="s">
        <v>88</v>
      </c>
      <c r="CC6" s="14" t="s">
        <v>74</v>
      </c>
      <c r="CD6" s="14" t="s">
        <v>75</v>
      </c>
    </row>
    <row r="7" spans="2:82" x14ac:dyDescent="0.25">
      <c r="B7" s="2">
        <v>1</v>
      </c>
      <c r="C7" s="4" t="s">
        <v>16</v>
      </c>
      <c r="D7" s="9">
        <v>96268</v>
      </c>
      <c r="E7" s="4" t="s">
        <v>66</v>
      </c>
      <c r="F7" s="4" t="s">
        <v>17</v>
      </c>
      <c r="G7" s="4" t="s">
        <v>18</v>
      </c>
      <c r="H7" s="5">
        <v>19.97</v>
      </c>
      <c r="I7" s="6">
        <v>1</v>
      </c>
      <c r="J7" s="6">
        <v>2</v>
      </c>
      <c r="K7" s="6" t="s">
        <v>19</v>
      </c>
      <c r="L7" s="6" t="s">
        <v>19</v>
      </c>
      <c r="M7" s="6" t="s">
        <v>19</v>
      </c>
      <c r="N7" s="6" t="s">
        <v>20</v>
      </c>
      <c r="O7" s="9">
        <v>96268</v>
      </c>
      <c r="P7" s="9" t="s">
        <v>21</v>
      </c>
      <c r="Q7" s="6">
        <f>IFERROR(INDEX(Item_Code_allocation_table!$C$4:$I$15,MATCH(Main!$O7,Item_Code_allocation_table!$B$4:$B$15,0),MATCH(Main!Q$6,Item_Code_allocation_table!$C$3:$I$3,0)), INDEX(DPS_Code_allocation_table!$C$4:$I$15,MATCH(Main!$P7,DPS_Code_allocation_table!$B$4:$B$15,0),MATCH(Main!Q$6,DPS_Code_allocation_table!$C$3:$I$3,0)))</f>
        <v>16</v>
      </c>
      <c r="R7" s="6">
        <f>IFERROR(INDEX(Item_Code_allocation_table!$C$4:$I$15,MATCH(Main!$O7,Item_Code_allocation_table!$B$4:$B$15,0),MATCH(Main!R$6,Item_Code_allocation_table!$C$3:$I$3,0)), INDEX(DPS_Code_allocation_table!$C$4:$I$15,MATCH(Main!$P7,DPS_Code_allocation_table!$B$4:$B$15,0),MATCH(Main!R$6,DPS_Code_allocation_table!$C$3:$I$3,0)))</f>
        <v>10</v>
      </c>
      <c r="S7" s="6">
        <f>IFERROR(INDEX(Item_Code_allocation_table!$C$4:$I$15,MATCH(Main!$O7,Item_Code_allocation_table!$B$4:$B$15,0),MATCH(Main!S$6,Item_Code_allocation_table!$C$3:$I$3,0)), INDEX(DPS_Code_allocation_table!$C$4:$I$15,MATCH(Main!$P7,DPS_Code_allocation_table!$B$4:$B$15,0),MATCH(Main!S$6,DPS_Code_allocation_table!$C$3:$I$3,0)))</f>
        <v>8</v>
      </c>
      <c r="T7" s="6">
        <f>IFERROR(INDEX(Item_Code_allocation_table!$C$4:$I$15,MATCH(Main!$O7,Item_Code_allocation_table!$B$4:$B$15,0),MATCH(Main!T$6,Item_Code_allocation_table!$C$3:$I$3,0)), INDEX(DPS_Code_allocation_table!$C$4:$I$15,MATCH(Main!$P7,DPS_Code_allocation_table!$B$4:$B$15,0),MATCH(Main!T$6,DPS_Code_allocation_table!$C$3:$I$3,0)))</f>
        <v>6</v>
      </c>
      <c r="U7" s="6">
        <f>IFERROR(INDEX(Item_Code_allocation_table!$C$4:$I$15,MATCH(Main!$O7,Item_Code_allocation_table!$B$4:$B$15,0),MATCH(Main!U$6,Item_Code_allocation_table!$C$3:$I$3,0)), INDEX(DPS_Code_allocation_table!$C$4:$I$15,MATCH(Main!$P7,DPS_Code_allocation_table!$B$4:$B$15,0),MATCH(Main!U$6,DPS_Code_allocation_table!$C$3:$I$3,0)))</f>
        <v>5</v>
      </c>
      <c r="V7" s="6">
        <f>IFERROR(INDEX(Item_Code_allocation_table!$C$4:$I$15,MATCH(Main!$O7,Item_Code_allocation_table!$B$4:$B$15,0),MATCH(Main!V$6,Item_Code_allocation_table!$C$3:$I$3,0)), INDEX(DPS_Code_allocation_table!$C$4:$I$15,MATCH(Main!$P7,DPS_Code_allocation_table!$B$4:$B$15,0),MATCH(Main!V$6,DPS_Code_allocation_table!$C$3:$I$3,0)))</f>
        <v>4</v>
      </c>
      <c r="W7" s="6">
        <f>IFERROR(INDEX(Item_Code_allocation_table!$C$4:$I$15,MATCH(Main!$O7,Item_Code_allocation_table!$B$4:$B$15,0),MATCH(Main!W$6,Item_Code_allocation_table!$C$3:$I$3,0)), INDEX(DPS_Code_allocation_table!$C$4:$I$15,MATCH(Main!$P7,DPS_Code_allocation_table!$B$4:$B$15,0),MATCH(Main!W$6,DPS_Code_allocation_table!$C$3:$I$3,0)))</f>
        <v>3</v>
      </c>
      <c r="Y7" s="74" t="str">
        <f>VLOOKUP(C7,DCS_Pattern!B:C,2,FALSE)</f>
        <v>Pattern 02</v>
      </c>
      <c r="Z7" s="54" t="str" cm="1">
        <f t="array" ref="Z7">_xlfn.XLOOKUP(1,(Store_Group!$B$4:$B$1532=$Y7)*(Store_Group!$C$4:$C$1532=Z$6),Store_Group!$D$4:$D$1532,"")</f>
        <v>B</v>
      </c>
      <c r="AA7" s="54" t="str" cm="1">
        <f t="array" ref="AA7">_xlfn.XLOOKUP(1,(Store_Group!$B$4:$B$1532=$Y7)*(Store_Group!$C$4:$C$1532=AA$6),Store_Group!$D$4:$D$1532,"")</f>
        <v>A3</v>
      </c>
      <c r="AB7" s="54" t="str" cm="1">
        <f t="array" ref="AB7">_xlfn.XLOOKUP(1,(Store_Group!$B$4:$B$1532=$Y7)*(Store_Group!$C$4:$C$1532=AB$6),Store_Group!$D$4:$D$1532,"")</f>
        <v>C</v>
      </c>
      <c r="AC7" s="54" t="str" cm="1">
        <f t="array" ref="AC7">_xlfn.XLOOKUP(1,(Store_Group!$B$4:$B$1532=$Y7)*(Store_Group!$C$4:$C$1532=AC$6),Store_Group!$D$4:$D$1532,"")</f>
        <v>C</v>
      </c>
      <c r="AD7" s="54" t="str" cm="1">
        <f t="array" ref="AD7">_xlfn.XLOOKUP(1,(Store_Group!$B$4:$B$1532=$Y7)*(Store_Group!$C$4:$C$1532=AD$6),Store_Group!$D$4:$D$1532,"")</f>
        <v>A3</v>
      </c>
      <c r="AE7" s="54" t="str" cm="1">
        <f t="array" ref="AE7">_xlfn.XLOOKUP(1,(Store_Group!$B$4:$B$1532=$Y7)*(Store_Group!$C$4:$C$1532=AE$6),Store_Group!$D$4:$D$1532,"")</f>
        <v>C</v>
      </c>
      <c r="AF7" s="54" t="str" cm="1">
        <f t="array" ref="AF7">_xlfn.XLOOKUP(1,(Store_Group!$B$4:$B$1532=$Y7)*(Store_Group!$C$4:$C$1532=AF$6),Store_Group!$D$4:$D$1532,"")</f>
        <v>C</v>
      </c>
      <c r="AG7" s="54" t="str" cm="1">
        <f t="array" ref="AG7">_xlfn.XLOOKUP(1,(Store_Group!$B$4:$B$1532=$Y7)*(Store_Group!$C$4:$C$1532=AG$6),Store_Group!$D$4:$D$1532,"")</f>
        <v>C</v>
      </c>
      <c r="AI7" s="54">
        <f>INDEX($Q7:$W7,1,MATCH(Z7,$Q$6:$W$6,0))</f>
        <v>6</v>
      </c>
      <c r="AJ7" s="54">
        <f t="shared" ref="AJ7:AP18" si="0">INDEX($Q7:$W7,1,MATCH(AA7,$Q$6:$W$6,0))</f>
        <v>8</v>
      </c>
      <c r="AK7" s="54">
        <f t="shared" si="0"/>
        <v>5</v>
      </c>
      <c r="AL7" s="54">
        <f t="shared" si="0"/>
        <v>5</v>
      </c>
      <c r="AM7" s="54">
        <f t="shared" si="0"/>
        <v>8</v>
      </c>
      <c r="AN7" s="54">
        <f t="shared" si="0"/>
        <v>5</v>
      </c>
      <c r="AO7" s="54">
        <f t="shared" si="0"/>
        <v>5</v>
      </c>
      <c r="AP7" s="54">
        <f t="shared" si="0"/>
        <v>5</v>
      </c>
      <c r="AR7" s="54" t="s">
        <v>19</v>
      </c>
      <c r="AS7" s="54" t="s">
        <v>19</v>
      </c>
      <c r="AT7" s="54" t="s">
        <v>19</v>
      </c>
      <c r="AU7" s="54" t="s">
        <v>19</v>
      </c>
      <c r="AV7" s="54" t="s">
        <v>19</v>
      </c>
      <c r="AW7" s="54" t="s">
        <v>19</v>
      </c>
      <c r="AX7" s="54" t="s">
        <v>19</v>
      </c>
      <c r="AY7" s="54" t="s">
        <v>19</v>
      </c>
      <c r="BA7" s="54">
        <v>6</v>
      </c>
      <c r="BB7" s="54">
        <v>8</v>
      </c>
      <c r="BC7" s="54">
        <v>5</v>
      </c>
      <c r="BD7" s="54">
        <v>5</v>
      </c>
      <c r="BE7" s="54">
        <v>8</v>
      </c>
      <c r="BF7" s="54">
        <v>5</v>
      </c>
      <c r="BG7" s="54">
        <v>5</v>
      </c>
      <c r="BH7" s="54">
        <v>5</v>
      </c>
      <c r="BJ7" s="54">
        <v>2</v>
      </c>
      <c r="BK7" s="54">
        <v>4</v>
      </c>
      <c r="BL7" s="54">
        <v>3</v>
      </c>
      <c r="BM7" s="54">
        <v>4</v>
      </c>
      <c r="BN7" s="54">
        <v>1</v>
      </c>
      <c r="BO7" s="54">
        <v>3</v>
      </c>
      <c r="BP7" s="54">
        <v>2</v>
      </c>
      <c r="BQ7" s="54">
        <v>3</v>
      </c>
      <c r="BS7" s="75">
        <v>1</v>
      </c>
      <c r="BT7" s="54">
        <f t="shared" ref="BT7:BT18" si="1">MAX(0,ROUND((BA7-BJ7)/$BS7,0)*$BS7)</f>
        <v>4</v>
      </c>
      <c r="BU7" s="54">
        <f t="shared" ref="BU7:BU18" si="2">MAX(0,ROUND((BB7-BK7)/$BS7,0)*$BS7)</f>
        <v>4</v>
      </c>
      <c r="BV7" s="54">
        <f t="shared" ref="BV7:BV18" si="3">MAX(0,ROUND((BC7-BL7)/$BS7,0)*$BS7)</f>
        <v>2</v>
      </c>
      <c r="BW7" s="54">
        <f t="shared" ref="BW7:BW18" si="4">MAX(0,ROUND((BD7-BM7)/$BS7,0)*$BS7)</f>
        <v>1</v>
      </c>
      <c r="BX7" s="54">
        <f t="shared" ref="BX7:BX18" si="5">MAX(0,ROUND((BE7-BN7)/$BS7,0)*$BS7)</f>
        <v>7</v>
      </c>
      <c r="BY7" s="54">
        <f t="shared" ref="BY7:BY18" si="6">MAX(0,ROUND((BF7-BO7)/$BS7,0)*$BS7)</f>
        <v>2</v>
      </c>
      <c r="BZ7" s="54">
        <f t="shared" ref="BZ7:BZ18" si="7">MAX(0,ROUND((BG7-BP7)/$BS7,0)*$BS7)</f>
        <v>3</v>
      </c>
      <c r="CA7" s="54">
        <f t="shared" ref="CA7:CA18" si="8">MAX(0,ROUND((BH7-BQ7)/$BS7,0)*$BS7)</f>
        <v>2</v>
      </c>
      <c r="CB7" s="6">
        <v>2</v>
      </c>
      <c r="CC7" s="6">
        <f t="shared" ref="CC7:CC18" si="9">SUM(BT7:CA7)</f>
        <v>25</v>
      </c>
      <c r="CD7" s="6">
        <f>CB7-CC7</f>
        <v>-23</v>
      </c>
    </row>
    <row r="8" spans="2:82" x14ac:dyDescent="0.25">
      <c r="B8" s="2">
        <v>2</v>
      </c>
      <c r="C8" s="4" t="s">
        <v>22</v>
      </c>
      <c r="D8" s="9">
        <v>97888</v>
      </c>
      <c r="E8" s="4" t="s">
        <v>65</v>
      </c>
      <c r="F8" s="4" t="s">
        <v>17</v>
      </c>
      <c r="G8" s="4" t="s">
        <v>23</v>
      </c>
      <c r="H8" s="5">
        <v>29.95</v>
      </c>
      <c r="I8" s="6">
        <v>1</v>
      </c>
      <c r="J8" s="6">
        <v>2</v>
      </c>
      <c r="K8" s="6" t="s">
        <v>19</v>
      </c>
      <c r="L8" s="6" t="s">
        <v>24</v>
      </c>
      <c r="M8" s="6" t="s">
        <v>25</v>
      </c>
      <c r="N8" s="6" t="s">
        <v>26</v>
      </c>
      <c r="O8" s="9">
        <f t="shared" ref="O8:O17" si="10">D8</f>
        <v>97888</v>
      </c>
      <c r="P8" s="9" t="s">
        <v>27</v>
      </c>
      <c r="Q8" s="6">
        <f>IFERROR(INDEX(Item_Code_allocation_table!$C$4:$I$15,MATCH(Main!$O8,Item_Code_allocation_table!$B$4:$B$15,0),MATCH(Main!Q$6,Item_Code_allocation_table!$C$3:$I$3,0)), INDEX(DPS_Code_allocation_table!$C$4:$I$15,MATCH(Main!$P8,DPS_Code_allocation_table!$B$4:$B$15,0),MATCH(Main!Q$6,DPS_Code_allocation_table!$C$3:$I$3,0)))</f>
        <v>14</v>
      </c>
      <c r="R8" s="6">
        <f>IFERROR(INDEX(Item_Code_allocation_table!$C$4:$I$15,MATCH(Main!$O8,Item_Code_allocation_table!$B$4:$B$15,0),MATCH(Main!R$6,Item_Code_allocation_table!$C$3:$I$3,0)), INDEX(DPS_Code_allocation_table!$C$4:$I$15,MATCH(Main!$P8,DPS_Code_allocation_table!$B$4:$B$15,0),MATCH(Main!R$6,DPS_Code_allocation_table!$C$3:$I$3,0)))</f>
        <v>8</v>
      </c>
      <c r="S8" s="6">
        <f>IFERROR(INDEX(Item_Code_allocation_table!$C$4:$I$15,MATCH(Main!$O8,Item_Code_allocation_table!$B$4:$B$15,0),MATCH(Main!S$6,Item_Code_allocation_table!$C$3:$I$3,0)), INDEX(DPS_Code_allocation_table!$C$4:$I$15,MATCH(Main!$P8,DPS_Code_allocation_table!$B$4:$B$15,0),MATCH(Main!S$6,DPS_Code_allocation_table!$C$3:$I$3,0)))</f>
        <v>7</v>
      </c>
      <c r="T8" s="6">
        <f>IFERROR(INDEX(Item_Code_allocation_table!$C$4:$I$15,MATCH(Main!$O8,Item_Code_allocation_table!$B$4:$B$15,0),MATCH(Main!T$6,Item_Code_allocation_table!$C$3:$I$3,0)), INDEX(DPS_Code_allocation_table!$C$4:$I$15,MATCH(Main!$P8,DPS_Code_allocation_table!$B$4:$B$15,0),MATCH(Main!T$6,DPS_Code_allocation_table!$C$3:$I$3,0)))</f>
        <v>5</v>
      </c>
      <c r="U8" s="6">
        <f>IFERROR(INDEX(Item_Code_allocation_table!$C$4:$I$15,MATCH(Main!$O8,Item_Code_allocation_table!$B$4:$B$15,0),MATCH(Main!U$6,Item_Code_allocation_table!$C$3:$I$3,0)), INDEX(DPS_Code_allocation_table!$C$4:$I$15,MATCH(Main!$P8,DPS_Code_allocation_table!$B$4:$B$15,0),MATCH(Main!U$6,DPS_Code_allocation_table!$C$3:$I$3,0)))</f>
        <v>4</v>
      </c>
      <c r="V8" s="6">
        <f>IFERROR(INDEX(Item_Code_allocation_table!$C$4:$I$15,MATCH(Main!$O8,Item_Code_allocation_table!$B$4:$B$15,0),MATCH(Main!V$6,Item_Code_allocation_table!$C$3:$I$3,0)), INDEX(DPS_Code_allocation_table!$C$4:$I$15,MATCH(Main!$P8,DPS_Code_allocation_table!$B$4:$B$15,0),MATCH(Main!V$6,DPS_Code_allocation_table!$C$3:$I$3,0)))</f>
        <v>3</v>
      </c>
      <c r="W8" s="6">
        <f>IFERROR(INDEX(Item_Code_allocation_table!$C$4:$I$15,MATCH(Main!$O8,Item_Code_allocation_table!$B$4:$B$15,0),MATCH(Main!W$6,Item_Code_allocation_table!$C$3:$I$3,0)), INDEX(DPS_Code_allocation_table!$C$4:$I$15,MATCH(Main!$P8,DPS_Code_allocation_table!$B$4:$B$15,0),MATCH(Main!W$6,DPS_Code_allocation_table!$C$3:$I$3,0)))</f>
        <v>3</v>
      </c>
      <c r="Y8" s="74" t="str">
        <f>VLOOKUP(C8,DCS_Pattern!B:C,2,FALSE)</f>
        <v>Pattern 02</v>
      </c>
      <c r="Z8" s="54" t="str" cm="1">
        <f t="array" ref="Z8">_xlfn.XLOOKUP(1,(Store_Group!$B$4:$B$1532=$Y8)*(Store_Group!$C$4:$C$1532=Z$6),Store_Group!$D$4:$D$1532,"")</f>
        <v>B</v>
      </c>
      <c r="AA8" s="54" t="str" cm="1">
        <f t="array" ref="AA8">_xlfn.XLOOKUP(1,(Store_Group!$B$4:$B$1532=$Y8)*(Store_Group!$C$4:$C$1532=AA$6),Store_Group!$D$4:$D$1532,"")</f>
        <v>A3</v>
      </c>
      <c r="AB8" s="54" t="str" cm="1">
        <f t="array" ref="AB8">_xlfn.XLOOKUP(1,(Store_Group!$B$4:$B$1532=$Y8)*(Store_Group!$C$4:$C$1532=AB$6),Store_Group!$D$4:$D$1532,"")</f>
        <v>C</v>
      </c>
      <c r="AC8" s="54" t="str" cm="1">
        <f t="array" ref="AC8">_xlfn.XLOOKUP(1,(Store_Group!$B$4:$B$1532=$Y8)*(Store_Group!$C$4:$C$1532=AC$6),Store_Group!$D$4:$D$1532,"")</f>
        <v>C</v>
      </c>
      <c r="AD8" s="54" t="str" cm="1">
        <f t="array" ref="AD8">_xlfn.XLOOKUP(1,(Store_Group!$B$4:$B$1532=$Y8)*(Store_Group!$C$4:$C$1532=AD$6),Store_Group!$D$4:$D$1532,"")</f>
        <v>A3</v>
      </c>
      <c r="AE8" s="54" t="str" cm="1">
        <f t="array" ref="AE8">_xlfn.XLOOKUP(1,(Store_Group!$B$4:$B$1532=$Y8)*(Store_Group!$C$4:$C$1532=AE$6),Store_Group!$D$4:$D$1532,"")</f>
        <v>C</v>
      </c>
      <c r="AF8" s="54" t="str" cm="1">
        <f t="array" ref="AF8">_xlfn.XLOOKUP(1,(Store_Group!$B$4:$B$1532=$Y8)*(Store_Group!$C$4:$C$1532=AF$6),Store_Group!$D$4:$D$1532,"")</f>
        <v>C</v>
      </c>
      <c r="AG8" s="54" t="str" cm="1">
        <f t="array" ref="AG8">_xlfn.XLOOKUP(1,(Store_Group!$B$4:$B$1532=$Y8)*(Store_Group!$C$4:$C$1532=AG$6),Store_Group!$D$4:$D$1532,"")</f>
        <v>C</v>
      </c>
      <c r="AI8" s="54">
        <f t="shared" ref="AI8:AI18" si="11">INDEX($Q8:$W8,1,MATCH(Z8,$Q$6:$W$6,0))</f>
        <v>5</v>
      </c>
      <c r="AJ8" s="54">
        <f t="shared" si="0"/>
        <v>7</v>
      </c>
      <c r="AK8" s="54">
        <f t="shared" si="0"/>
        <v>4</v>
      </c>
      <c r="AL8" s="54">
        <f t="shared" si="0"/>
        <v>4</v>
      </c>
      <c r="AM8" s="54">
        <f t="shared" si="0"/>
        <v>7</v>
      </c>
      <c r="AN8" s="54">
        <f t="shared" si="0"/>
        <v>4</v>
      </c>
      <c r="AO8" s="54">
        <f t="shared" si="0"/>
        <v>4</v>
      </c>
      <c r="AP8" s="54">
        <f t="shared" si="0"/>
        <v>4</v>
      </c>
      <c r="AR8" s="54" t="s">
        <v>19</v>
      </c>
      <c r="AS8" s="54" t="s">
        <v>19</v>
      </c>
      <c r="AT8" s="54" t="s">
        <v>19</v>
      </c>
      <c r="AU8" s="54" t="s">
        <v>19</v>
      </c>
      <c r="AV8" s="54" t="s">
        <v>19</v>
      </c>
      <c r="AW8" s="54" t="s">
        <v>19</v>
      </c>
      <c r="AX8" s="54" t="s">
        <v>19</v>
      </c>
      <c r="AY8" s="54" t="s">
        <v>19</v>
      </c>
      <c r="BA8" s="54">
        <v>5</v>
      </c>
      <c r="BB8" s="54">
        <v>7</v>
      </c>
      <c r="BC8" s="54">
        <v>4</v>
      </c>
      <c r="BD8" s="54">
        <v>4</v>
      </c>
      <c r="BE8" s="54">
        <v>7</v>
      </c>
      <c r="BF8" s="54">
        <v>4</v>
      </c>
      <c r="BG8" s="54">
        <v>4</v>
      </c>
      <c r="BH8" s="54">
        <v>4</v>
      </c>
      <c r="BJ8" s="54">
        <v>0</v>
      </c>
      <c r="BK8" s="54">
        <v>3</v>
      </c>
      <c r="BL8" s="54">
        <v>4</v>
      </c>
      <c r="BM8" s="54">
        <v>1</v>
      </c>
      <c r="BN8" s="54">
        <v>4</v>
      </c>
      <c r="BO8" s="54">
        <v>2</v>
      </c>
      <c r="BP8" s="54">
        <v>3</v>
      </c>
      <c r="BQ8" s="54">
        <v>2</v>
      </c>
      <c r="BS8" s="75">
        <v>1</v>
      </c>
      <c r="BT8" s="54">
        <f t="shared" si="1"/>
        <v>5</v>
      </c>
      <c r="BU8" s="54">
        <f t="shared" si="2"/>
        <v>4</v>
      </c>
      <c r="BV8" s="54">
        <f t="shared" si="3"/>
        <v>0</v>
      </c>
      <c r="BW8" s="54">
        <f t="shared" si="4"/>
        <v>3</v>
      </c>
      <c r="BX8" s="54">
        <f t="shared" si="5"/>
        <v>3</v>
      </c>
      <c r="BY8" s="54">
        <f t="shared" si="6"/>
        <v>2</v>
      </c>
      <c r="BZ8" s="54">
        <f t="shared" si="7"/>
        <v>1</v>
      </c>
      <c r="CA8" s="54">
        <f t="shared" si="8"/>
        <v>2</v>
      </c>
      <c r="CB8" s="6">
        <v>1</v>
      </c>
      <c r="CC8" s="6">
        <f t="shared" si="9"/>
        <v>20</v>
      </c>
      <c r="CD8" s="6">
        <f t="shared" ref="CD8:CD18" si="12">CB8-CC8</f>
        <v>-19</v>
      </c>
    </row>
    <row r="9" spans="2:82" x14ac:dyDescent="0.25">
      <c r="B9" s="2">
        <v>3</v>
      </c>
      <c r="C9" s="4" t="s">
        <v>28</v>
      </c>
      <c r="D9" s="9">
        <v>91815</v>
      </c>
      <c r="E9" s="4" t="s">
        <v>29</v>
      </c>
      <c r="F9" s="4" t="s">
        <v>30</v>
      </c>
      <c r="G9" s="4" t="s">
        <v>31</v>
      </c>
      <c r="H9" s="5">
        <v>49.95</v>
      </c>
      <c r="I9" s="6">
        <v>1</v>
      </c>
      <c r="J9" s="6">
        <v>2</v>
      </c>
      <c r="K9" s="6" t="s">
        <v>19</v>
      </c>
      <c r="L9" s="6" t="s">
        <v>19</v>
      </c>
      <c r="M9" s="6" t="s">
        <v>25</v>
      </c>
      <c r="N9" s="6" t="s">
        <v>20</v>
      </c>
      <c r="O9" s="9">
        <f t="shared" si="10"/>
        <v>91815</v>
      </c>
      <c r="P9" s="9" t="s">
        <v>32</v>
      </c>
      <c r="Q9" s="6">
        <f>IFERROR(INDEX(Item_Code_allocation_table!$C$4:$I$15,MATCH(Main!$O9,Item_Code_allocation_table!$B$4:$B$15,0),MATCH(Main!Q$6,Item_Code_allocation_table!$C$3:$I$3,0)), INDEX(DPS_Code_allocation_table!$C$4:$I$15,MATCH(Main!$P9,DPS_Code_allocation_table!$B$4:$B$15,0),MATCH(Main!Q$6,DPS_Code_allocation_table!$C$3:$I$3,0)))</f>
        <v>12</v>
      </c>
      <c r="R9" s="6">
        <f>IFERROR(INDEX(Item_Code_allocation_table!$C$4:$I$15,MATCH(Main!$O9,Item_Code_allocation_table!$B$4:$B$15,0),MATCH(Main!R$6,Item_Code_allocation_table!$C$3:$I$3,0)), INDEX(DPS_Code_allocation_table!$C$4:$I$15,MATCH(Main!$P9,DPS_Code_allocation_table!$B$4:$B$15,0),MATCH(Main!R$6,DPS_Code_allocation_table!$C$3:$I$3,0)))</f>
        <v>6</v>
      </c>
      <c r="S9" s="6">
        <f>IFERROR(INDEX(Item_Code_allocation_table!$C$4:$I$15,MATCH(Main!$O9,Item_Code_allocation_table!$B$4:$B$15,0),MATCH(Main!S$6,Item_Code_allocation_table!$C$3:$I$3,0)), INDEX(DPS_Code_allocation_table!$C$4:$I$15,MATCH(Main!$P9,DPS_Code_allocation_table!$B$4:$B$15,0),MATCH(Main!S$6,DPS_Code_allocation_table!$C$3:$I$3,0)))</f>
        <v>5</v>
      </c>
      <c r="T9" s="6">
        <f>IFERROR(INDEX(Item_Code_allocation_table!$C$4:$I$15,MATCH(Main!$O9,Item_Code_allocation_table!$B$4:$B$15,0),MATCH(Main!T$6,Item_Code_allocation_table!$C$3:$I$3,0)), INDEX(DPS_Code_allocation_table!$C$4:$I$15,MATCH(Main!$P9,DPS_Code_allocation_table!$B$4:$B$15,0),MATCH(Main!T$6,DPS_Code_allocation_table!$C$3:$I$3,0)))</f>
        <v>4</v>
      </c>
      <c r="U9" s="6">
        <f>IFERROR(INDEX(Item_Code_allocation_table!$C$4:$I$15,MATCH(Main!$O9,Item_Code_allocation_table!$B$4:$B$15,0),MATCH(Main!U$6,Item_Code_allocation_table!$C$3:$I$3,0)), INDEX(DPS_Code_allocation_table!$C$4:$I$15,MATCH(Main!$P9,DPS_Code_allocation_table!$B$4:$B$15,0),MATCH(Main!U$6,DPS_Code_allocation_table!$C$3:$I$3,0)))</f>
        <v>4</v>
      </c>
      <c r="V9" s="6">
        <f>IFERROR(INDEX(Item_Code_allocation_table!$C$4:$I$15,MATCH(Main!$O9,Item_Code_allocation_table!$B$4:$B$15,0),MATCH(Main!V$6,Item_Code_allocation_table!$C$3:$I$3,0)), INDEX(DPS_Code_allocation_table!$C$4:$I$15,MATCH(Main!$P9,DPS_Code_allocation_table!$B$4:$B$15,0),MATCH(Main!V$6,DPS_Code_allocation_table!$C$3:$I$3,0)))</f>
        <v>3</v>
      </c>
      <c r="W9" s="6">
        <f>IFERROR(INDEX(Item_Code_allocation_table!$C$4:$I$15,MATCH(Main!$O9,Item_Code_allocation_table!$B$4:$B$15,0),MATCH(Main!W$6,Item_Code_allocation_table!$C$3:$I$3,0)), INDEX(DPS_Code_allocation_table!$C$4:$I$15,MATCH(Main!$P9,DPS_Code_allocation_table!$B$4:$B$15,0),MATCH(Main!W$6,DPS_Code_allocation_table!$C$3:$I$3,0)))</f>
        <v>2</v>
      </c>
      <c r="Y9" s="74" t="str">
        <f>VLOOKUP(C9,DCS_Pattern!B:C,2,FALSE)</f>
        <v>Pattern 06</v>
      </c>
      <c r="Z9" s="54" t="str" cm="1">
        <f t="array" ref="Z9">_xlfn.XLOOKUP(1,(Store_Group!$B$4:$B$1532=$Y9)*(Store_Group!$C$4:$C$1532=Z$6),Store_Group!$D$4:$D$1532,"")</f>
        <v>B</v>
      </c>
      <c r="AA9" s="54" t="str" cm="1">
        <f t="array" ref="AA9">_xlfn.XLOOKUP(1,(Store_Group!$B$4:$B$1532=$Y9)*(Store_Group!$C$4:$C$1532=AA$6),Store_Group!$D$4:$D$1532,"")</f>
        <v>A3</v>
      </c>
      <c r="AB9" s="54" t="str" cm="1">
        <f t="array" ref="AB9">_xlfn.XLOOKUP(1,(Store_Group!$B$4:$B$1532=$Y9)*(Store_Group!$C$4:$C$1532=AB$6),Store_Group!$D$4:$D$1532,"")</f>
        <v>C</v>
      </c>
      <c r="AC9" s="54" t="str" cm="1">
        <f t="array" ref="AC9">_xlfn.XLOOKUP(1,(Store_Group!$B$4:$B$1532=$Y9)*(Store_Group!$C$4:$C$1532=AC$6),Store_Group!$D$4:$D$1532,"")</f>
        <v>B</v>
      </c>
      <c r="AD9" s="54" t="str" cm="1">
        <f t="array" ref="AD9">_xlfn.XLOOKUP(1,(Store_Group!$B$4:$B$1532=$Y9)*(Store_Group!$C$4:$C$1532=AD$6),Store_Group!$D$4:$D$1532,"")</f>
        <v>A3</v>
      </c>
      <c r="AE9" s="54" t="str" cm="1">
        <f t="array" ref="AE9">_xlfn.XLOOKUP(1,(Store_Group!$B$4:$B$1532=$Y9)*(Store_Group!$C$4:$C$1532=AE$6),Store_Group!$D$4:$D$1532,"")</f>
        <v>B</v>
      </c>
      <c r="AF9" s="54" t="str" cm="1">
        <f t="array" ref="AF9">_xlfn.XLOOKUP(1,(Store_Group!$B$4:$B$1532=$Y9)*(Store_Group!$C$4:$C$1532=AF$6),Store_Group!$D$4:$D$1532,"")</f>
        <v>C</v>
      </c>
      <c r="AG9" s="54" t="str" cm="1">
        <f t="array" ref="AG9">_xlfn.XLOOKUP(1,(Store_Group!$B$4:$B$1532=$Y9)*(Store_Group!$C$4:$C$1532=AG$6),Store_Group!$D$4:$D$1532,"")</f>
        <v>C</v>
      </c>
      <c r="AI9" s="54">
        <f t="shared" si="11"/>
        <v>4</v>
      </c>
      <c r="AJ9" s="54">
        <f t="shared" si="0"/>
        <v>5</v>
      </c>
      <c r="AK9" s="54">
        <f t="shared" si="0"/>
        <v>4</v>
      </c>
      <c r="AL9" s="54">
        <f t="shared" si="0"/>
        <v>4</v>
      </c>
      <c r="AM9" s="54">
        <f t="shared" si="0"/>
        <v>5</v>
      </c>
      <c r="AN9" s="54">
        <f t="shared" si="0"/>
        <v>4</v>
      </c>
      <c r="AO9" s="54">
        <f t="shared" si="0"/>
        <v>4</v>
      </c>
      <c r="AP9" s="54">
        <f t="shared" si="0"/>
        <v>4</v>
      </c>
      <c r="AR9" s="54" t="s">
        <v>19</v>
      </c>
      <c r="AS9" s="54" t="s">
        <v>19</v>
      </c>
      <c r="AT9" s="54" t="s">
        <v>19</v>
      </c>
      <c r="AU9" s="54" t="s">
        <v>19</v>
      </c>
      <c r="AV9" s="54" t="s">
        <v>19</v>
      </c>
      <c r="AW9" s="54" t="s">
        <v>19</v>
      </c>
      <c r="AX9" s="54" t="s">
        <v>19</v>
      </c>
      <c r="AY9" s="54" t="s">
        <v>19</v>
      </c>
      <c r="BA9" s="54">
        <v>4</v>
      </c>
      <c r="BB9" s="54">
        <v>5</v>
      </c>
      <c r="BC9" s="54">
        <v>4</v>
      </c>
      <c r="BD9" s="54">
        <v>4</v>
      </c>
      <c r="BE9" s="54">
        <v>5</v>
      </c>
      <c r="BF9" s="54">
        <v>4</v>
      </c>
      <c r="BG9" s="54">
        <v>4</v>
      </c>
      <c r="BH9" s="54">
        <v>4</v>
      </c>
      <c r="BJ9" s="54">
        <v>2</v>
      </c>
      <c r="BK9" s="54">
        <v>0</v>
      </c>
      <c r="BL9" s="54">
        <v>4</v>
      </c>
      <c r="BM9" s="54">
        <v>1</v>
      </c>
      <c r="BN9" s="54">
        <v>3</v>
      </c>
      <c r="BO9" s="54">
        <v>1</v>
      </c>
      <c r="BP9" s="54">
        <v>4</v>
      </c>
      <c r="BQ9" s="54">
        <v>2</v>
      </c>
      <c r="BS9" s="75">
        <v>1</v>
      </c>
      <c r="BT9" s="54">
        <f t="shared" si="1"/>
        <v>2</v>
      </c>
      <c r="BU9" s="54">
        <f t="shared" si="2"/>
        <v>5</v>
      </c>
      <c r="BV9" s="54">
        <f t="shared" si="3"/>
        <v>0</v>
      </c>
      <c r="BW9" s="54">
        <f t="shared" si="4"/>
        <v>3</v>
      </c>
      <c r="BX9" s="54">
        <f t="shared" si="5"/>
        <v>2</v>
      </c>
      <c r="BY9" s="54">
        <f t="shared" si="6"/>
        <v>3</v>
      </c>
      <c r="BZ9" s="54">
        <f t="shared" si="7"/>
        <v>0</v>
      </c>
      <c r="CA9" s="54">
        <f t="shared" si="8"/>
        <v>2</v>
      </c>
      <c r="CB9" s="6">
        <v>798</v>
      </c>
      <c r="CC9" s="6">
        <f t="shared" si="9"/>
        <v>17</v>
      </c>
      <c r="CD9" s="6">
        <f t="shared" si="12"/>
        <v>781</v>
      </c>
    </row>
    <row r="10" spans="2:82" x14ac:dyDescent="0.25">
      <c r="B10" s="2">
        <v>4</v>
      </c>
      <c r="C10" s="4" t="s">
        <v>28</v>
      </c>
      <c r="D10" s="9">
        <v>91816</v>
      </c>
      <c r="E10" s="4" t="s">
        <v>33</v>
      </c>
      <c r="F10" s="4" t="s">
        <v>30</v>
      </c>
      <c r="G10" s="4" t="s">
        <v>31</v>
      </c>
      <c r="H10" s="5">
        <v>49.95</v>
      </c>
      <c r="I10" s="6">
        <v>1</v>
      </c>
      <c r="J10" s="6">
        <v>2</v>
      </c>
      <c r="K10" s="6" t="s">
        <v>19</v>
      </c>
      <c r="L10" s="6" t="s">
        <v>19</v>
      </c>
      <c r="M10" s="6" t="s">
        <v>25</v>
      </c>
      <c r="N10" s="6" t="s">
        <v>20</v>
      </c>
      <c r="O10" s="9">
        <f t="shared" si="10"/>
        <v>91816</v>
      </c>
      <c r="P10" s="9" t="s">
        <v>34</v>
      </c>
      <c r="Q10" s="6">
        <f>IFERROR(INDEX(Item_Code_allocation_table!$C$4:$I$15,MATCH(Main!$O10,Item_Code_allocation_table!$B$4:$B$15,0),MATCH(Main!Q$6,Item_Code_allocation_table!$C$3:$I$3,0)), INDEX(DPS_Code_allocation_table!$C$4:$I$15,MATCH(Main!$P10,DPS_Code_allocation_table!$B$4:$B$15,0),MATCH(Main!Q$6,DPS_Code_allocation_table!$C$3:$I$3,0)))</f>
        <v>12</v>
      </c>
      <c r="R10" s="6">
        <f>IFERROR(INDEX(Item_Code_allocation_table!$C$4:$I$15,MATCH(Main!$O10,Item_Code_allocation_table!$B$4:$B$15,0),MATCH(Main!R$6,Item_Code_allocation_table!$C$3:$I$3,0)), INDEX(DPS_Code_allocation_table!$C$4:$I$15,MATCH(Main!$P10,DPS_Code_allocation_table!$B$4:$B$15,0),MATCH(Main!R$6,DPS_Code_allocation_table!$C$3:$I$3,0)))</f>
        <v>6</v>
      </c>
      <c r="S10" s="6">
        <f>IFERROR(INDEX(Item_Code_allocation_table!$C$4:$I$15,MATCH(Main!$O10,Item_Code_allocation_table!$B$4:$B$15,0),MATCH(Main!S$6,Item_Code_allocation_table!$C$3:$I$3,0)), INDEX(DPS_Code_allocation_table!$C$4:$I$15,MATCH(Main!$P10,DPS_Code_allocation_table!$B$4:$B$15,0),MATCH(Main!S$6,DPS_Code_allocation_table!$C$3:$I$3,0)))</f>
        <v>5</v>
      </c>
      <c r="T10" s="6">
        <f>IFERROR(INDEX(Item_Code_allocation_table!$C$4:$I$15,MATCH(Main!$O10,Item_Code_allocation_table!$B$4:$B$15,0),MATCH(Main!T$6,Item_Code_allocation_table!$C$3:$I$3,0)), INDEX(DPS_Code_allocation_table!$C$4:$I$15,MATCH(Main!$P10,DPS_Code_allocation_table!$B$4:$B$15,0),MATCH(Main!T$6,DPS_Code_allocation_table!$C$3:$I$3,0)))</f>
        <v>4</v>
      </c>
      <c r="U10" s="6">
        <f>IFERROR(INDEX(Item_Code_allocation_table!$C$4:$I$15,MATCH(Main!$O10,Item_Code_allocation_table!$B$4:$B$15,0),MATCH(Main!U$6,Item_Code_allocation_table!$C$3:$I$3,0)), INDEX(DPS_Code_allocation_table!$C$4:$I$15,MATCH(Main!$P10,DPS_Code_allocation_table!$B$4:$B$15,0),MATCH(Main!U$6,DPS_Code_allocation_table!$C$3:$I$3,0)))</f>
        <v>4</v>
      </c>
      <c r="V10" s="6">
        <f>IFERROR(INDEX(Item_Code_allocation_table!$C$4:$I$15,MATCH(Main!$O10,Item_Code_allocation_table!$B$4:$B$15,0),MATCH(Main!V$6,Item_Code_allocation_table!$C$3:$I$3,0)), INDEX(DPS_Code_allocation_table!$C$4:$I$15,MATCH(Main!$P10,DPS_Code_allocation_table!$B$4:$B$15,0),MATCH(Main!V$6,DPS_Code_allocation_table!$C$3:$I$3,0)))</f>
        <v>3</v>
      </c>
      <c r="W10" s="6">
        <f>IFERROR(INDEX(Item_Code_allocation_table!$C$4:$I$15,MATCH(Main!$O10,Item_Code_allocation_table!$B$4:$B$15,0),MATCH(Main!W$6,Item_Code_allocation_table!$C$3:$I$3,0)), INDEX(DPS_Code_allocation_table!$C$4:$I$15,MATCH(Main!$P10,DPS_Code_allocation_table!$B$4:$B$15,0),MATCH(Main!W$6,DPS_Code_allocation_table!$C$3:$I$3,0)))</f>
        <v>2</v>
      </c>
      <c r="Y10" s="74" t="str">
        <f>VLOOKUP(C10,DCS_Pattern!B:C,2,FALSE)</f>
        <v>Pattern 06</v>
      </c>
      <c r="Z10" s="54" t="str" cm="1">
        <f t="array" ref="Z10">_xlfn.XLOOKUP(1,(Store_Group!$B$4:$B$1532=$Y10)*(Store_Group!$C$4:$C$1532=Z$6),Store_Group!$D$4:$D$1532,"")</f>
        <v>B</v>
      </c>
      <c r="AA10" s="54" t="str" cm="1">
        <f t="array" ref="AA10">_xlfn.XLOOKUP(1,(Store_Group!$B$4:$B$1532=$Y10)*(Store_Group!$C$4:$C$1532=AA$6),Store_Group!$D$4:$D$1532,"")</f>
        <v>A3</v>
      </c>
      <c r="AB10" s="54" t="str" cm="1">
        <f t="array" ref="AB10">_xlfn.XLOOKUP(1,(Store_Group!$B$4:$B$1532=$Y10)*(Store_Group!$C$4:$C$1532=AB$6),Store_Group!$D$4:$D$1532,"")</f>
        <v>C</v>
      </c>
      <c r="AC10" s="54" t="str" cm="1">
        <f t="array" ref="AC10">_xlfn.XLOOKUP(1,(Store_Group!$B$4:$B$1532=$Y10)*(Store_Group!$C$4:$C$1532=AC$6),Store_Group!$D$4:$D$1532,"")</f>
        <v>B</v>
      </c>
      <c r="AD10" s="54" t="str" cm="1">
        <f t="array" ref="AD10">_xlfn.XLOOKUP(1,(Store_Group!$B$4:$B$1532=$Y10)*(Store_Group!$C$4:$C$1532=AD$6),Store_Group!$D$4:$D$1532,"")</f>
        <v>A3</v>
      </c>
      <c r="AE10" s="54" t="str" cm="1">
        <f t="array" ref="AE10">_xlfn.XLOOKUP(1,(Store_Group!$B$4:$B$1532=$Y10)*(Store_Group!$C$4:$C$1532=AE$6),Store_Group!$D$4:$D$1532,"")</f>
        <v>B</v>
      </c>
      <c r="AF10" s="54" t="str" cm="1">
        <f t="array" ref="AF10">_xlfn.XLOOKUP(1,(Store_Group!$B$4:$B$1532=$Y10)*(Store_Group!$C$4:$C$1532=AF$6),Store_Group!$D$4:$D$1532,"")</f>
        <v>C</v>
      </c>
      <c r="AG10" s="54" t="str" cm="1">
        <f t="array" ref="AG10">_xlfn.XLOOKUP(1,(Store_Group!$B$4:$B$1532=$Y10)*(Store_Group!$C$4:$C$1532=AG$6),Store_Group!$D$4:$D$1532,"")</f>
        <v>C</v>
      </c>
      <c r="AI10" s="54">
        <f t="shared" si="11"/>
        <v>4</v>
      </c>
      <c r="AJ10" s="54">
        <f t="shared" si="0"/>
        <v>5</v>
      </c>
      <c r="AK10" s="54">
        <f t="shared" si="0"/>
        <v>4</v>
      </c>
      <c r="AL10" s="54">
        <f t="shared" si="0"/>
        <v>4</v>
      </c>
      <c r="AM10" s="54">
        <f t="shared" si="0"/>
        <v>5</v>
      </c>
      <c r="AN10" s="54">
        <f t="shared" si="0"/>
        <v>4</v>
      </c>
      <c r="AO10" s="54">
        <f t="shared" si="0"/>
        <v>4</v>
      </c>
      <c r="AP10" s="54">
        <f t="shared" si="0"/>
        <v>4</v>
      </c>
      <c r="AR10" s="54" t="s">
        <v>19</v>
      </c>
      <c r="AS10" s="54" t="s">
        <v>19</v>
      </c>
      <c r="AT10" s="54" t="s">
        <v>19</v>
      </c>
      <c r="AU10" s="54" t="s">
        <v>19</v>
      </c>
      <c r="AV10" s="54" t="s">
        <v>19</v>
      </c>
      <c r="AW10" s="54" t="s">
        <v>19</v>
      </c>
      <c r="AX10" s="54" t="s">
        <v>19</v>
      </c>
      <c r="AY10" s="54" t="s">
        <v>19</v>
      </c>
      <c r="BA10" s="54">
        <v>4</v>
      </c>
      <c r="BB10" s="54">
        <v>5</v>
      </c>
      <c r="BC10" s="54">
        <v>4</v>
      </c>
      <c r="BD10" s="54">
        <v>4</v>
      </c>
      <c r="BE10" s="54">
        <v>5</v>
      </c>
      <c r="BF10" s="54">
        <v>4</v>
      </c>
      <c r="BG10" s="54">
        <v>4</v>
      </c>
      <c r="BH10" s="54">
        <v>4</v>
      </c>
      <c r="BJ10" s="54">
        <v>1</v>
      </c>
      <c r="BK10" s="54">
        <v>4</v>
      </c>
      <c r="BL10" s="54">
        <v>1</v>
      </c>
      <c r="BM10" s="54">
        <v>4</v>
      </c>
      <c r="BN10" s="54">
        <v>3</v>
      </c>
      <c r="BO10" s="54">
        <v>3</v>
      </c>
      <c r="BP10" s="54">
        <v>1</v>
      </c>
      <c r="BQ10" s="54">
        <v>3</v>
      </c>
      <c r="BS10" s="75">
        <v>1</v>
      </c>
      <c r="BT10" s="54">
        <f t="shared" si="1"/>
        <v>3</v>
      </c>
      <c r="BU10" s="54">
        <f t="shared" si="2"/>
        <v>1</v>
      </c>
      <c r="BV10" s="54">
        <f t="shared" si="3"/>
        <v>3</v>
      </c>
      <c r="BW10" s="54">
        <f t="shared" si="4"/>
        <v>0</v>
      </c>
      <c r="BX10" s="54">
        <f t="shared" si="5"/>
        <v>2</v>
      </c>
      <c r="BY10" s="54">
        <f t="shared" si="6"/>
        <v>1</v>
      </c>
      <c r="BZ10" s="54">
        <f t="shared" si="7"/>
        <v>3</v>
      </c>
      <c r="CA10" s="54">
        <f t="shared" si="8"/>
        <v>1</v>
      </c>
      <c r="CB10" s="6">
        <v>1311</v>
      </c>
      <c r="CC10" s="6">
        <f t="shared" si="9"/>
        <v>14</v>
      </c>
      <c r="CD10" s="6">
        <f t="shared" si="12"/>
        <v>1297</v>
      </c>
    </row>
    <row r="11" spans="2:82" x14ac:dyDescent="0.25">
      <c r="B11" s="2">
        <v>5</v>
      </c>
      <c r="C11" s="4" t="s">
        <v>28</v>
      </c>
      <c r="D11" s="9">
        <v>91817</v>
      </c>
      <c r="E11" s="4" t="s">
        <v>35</v>
      </c>
      <c r="F11" s="4" t="s">
        <v>30</v>
      </c>
      <c r="G11" s="4" t="s">
        <v>31</v>
      </c>
      <c r="H11" s="5">
        <v>49.95</v>
      </c>
      <c r="I11" s="6">
        <v>1</v>
      </c>
      <c r="J11" s="6">
        <v>1</v>
      </c>
      <c r="K11" s="6" t="s">
        <v>19</v>
      </c>
      <c r="L11" s="6" t="s">
        <v>19</v>
      </c>
      <c r="M11" s="6" t="s">
        <v>25</v>
      </c>
      <c r="N11" s="6" t="s">
        <v>20</v>
      </c>
      <c r="O11" s="9">
        <f t="shared" si="10"/>
        <v>91817</v>
      </c>
      <c r="P11" s="9" t="s">
        <v>36</v>
      </c>
      <c r="Q11" s="6">
        <f>IFERROR(INDEX(Item_Code_allocation_table!$C$4:$I$15,MATCH(Main!$O11,Item_Code_allocation_table!$B$4:$B$15,0),MATCH(Main!Q$6,Item_Code_allocation_table!$C$3:$I$3,0)), INDEX(DPS_Code_allocation_table!$C$4:$I$15,MATCH(Main!$P11,DPS_Code_allocation_table!$B$4:$B$15,0),MATCH(Main!Q$6,DPS_Code_allocation_table!$C$3:$I$3,0)))</f>
        <v>10</v>
      </c>
      <c r="R11" s="6">
        <f>IFERROR(INDEX(Item_Code_allocation_table!$C$4:$I$15,MATCH(Main!$O11,Item_Code_allocation_table!$B$4:$B$15,0),MATCH(Main!R$6,Item_Code_allocation_table!$C$3:$I$3,0)), INDEX(DPS_Code_allocation_table!$C$4:$I$15,MATCH(Main!$P11,DPS_Code_allocation_table!$B$4:$B$15,0),MATCH(Main!R$6,DPS_Code_allocation_table!$C$3:$I$3,0)))</f>
        <v>5</v>
      </c>
      <c r="S11" s="6">
        <f>IFERROR(INDEX(Item_Code_allocation_table!$C$4:$I$15,MATCH(Main!$O11,Item_Code_allocation_table!$B$4:$B$15,0),MATCH(Main!S$6,Item_Code_allocation_table!$C$3:$I$3,0)), INDEX(DPS_Code_allocation_table!$C$4:$I$15,MATCH(Main!$P11,DPS_Code_allocation_table!$B$4:$B$15,0),MATCH(Main!S$6,DPS_Code_allocation_table!$C$3:$I$3,0)))</f>
        <v>4</v>
      </c>
      <c r="T11" s="6">
        <f>IFERROR(INDEX(Item_Code_allocation_table!$C$4:$I$15,MATCH(Main!$O11,Item_Code_allocation_table!$B$4:$B$15,0),MATCH(Main!T$6,Item_Code_allocation_table!$C$3:$I$3,0)), INDEX(DPS_Code_allocation_table!$C$4:$I$15,MATCH(Main!$P11,DPS_Code_allocation_table!$B$4:$B$15,0),MATCH(Main!T$6,DPS_Code_allocation_table!$C$3:$I$3,0)))</f>
        <v>3</v>
      </c>
      <c r="U11" s="6">
        <f>IFERROR(INDEX(Item_Code_allocation_table!$C$4:$I$15,MATCH(Main!$O11,Item_Code_allocation_table!$B$4:$B$15,0),MATCH(Main!U$6,Item_Code_allocation_table!$C$3:$I$3,0)), INDEX(DPS_Code_allocation_table!$C$4:$I$15,MATCH(Main!$P11,DPS_Code_allocation_table!$B$4:$B$15,0),MATCH(Main!U$6,DPS_Code_allocation_table!$C$3:$I$3,0)))</f>
        <v>2</v>
      </c>
      <c r="V11" s="6">
        <f>IFERROR(INDEX(Item_Code_allocation_table!$C$4:$I$15,MATCH(Main!$O11,Item_Code_allocation_table!$B$4:$B$15,0),MATCH(Main!V$6,Item_Code_allocation_table!$C$3:$I$3,0)), INDEX(DPS_Code_allocation_table!$C$4:$I$15,MATCH(Main!$P11,DPS_Code_allocation_table!$B$4:$B$15,0),MATCH(Main!V$6,DPS_Code_allocation_table!$C$3:$I$3,0)))</f>
        <v>2</v>
      </c>
      <c r="W11" s="6">
        <f>IFERROR(INDEX(Item_Code_allocation_table!$C$4:$I$15,MATCH(Main!$O11,Item_Code_allocation_table!$B$4:$B$15,0),MATCH(Main!W$6,Item_Code_allocation_table!$C$3:$I$3,0)), INDEX(DPS_Code_allocation_table!$C$4:$I$15,MATCH(Main!$P11,DPS_Code_allocation_table!$B$4:$B$15,0),MATCH(Main!W$6,DPS_Code_allocation_table!$C$3:$I$3,0)))</f>
        <v>1</v>
      </c>
      <c r="Y11" s="74" t="str">
        <f>VLOOKUP(C11,DCS_Pattern!B:C,2,FALSE)</f>
        <v>Pattern 06</v>
      </c>
      <c r="Z11" s="54" t="str" cm="1">
        <f t="array" ref="Z11">_xlfn.XLOOKUP(1,(Store_Group!$B$4:$B$1532=$Y11)*(Store_Group!$C$4:$C$1532=Z$6),Store_Group!$D$4:$D$1532,"")</f>
        <v>B</v>
      </c>
      <c r="AA11" s="54" t="str" cm="1">
        <f t="array" ref="AA11">_xlfn.XLOOKUP(1,(Store_Group!$B$4:$B$1532=$Y11)*(Store_Group!$C$4:$C$1532=AA$6),Store_Group!$D$4:$D$1532,"")</f>
        <v>A3</v>
      </c>
      <c r="AB11" s="54" t="str" cm="1">
        <f t="array" ref="AB11">_xlfn.XLOOKUP(1,(Store_Group!$B$4:$B$1532=$Y11)*(Store_Group!$C$4:$C$1532=AB$6),Store_Group!$D$4:$D$1532,"")</f>
        <v>C</v>
      </c>
      <c r="AC11" s="54" t="str" cm="1">
        <f t="array" ref="AC11">_xlfn.XLOOKUP(1,(Store_Group!$B$4:$B$1532=$Y11)*(Store_Group!$C$4:$C$1532=AC$6),Store_Group!$D$4:$D$1532,"")</f>
        <v>B</v>
      </c>
      <c r="AD11" s="54" t="str" cm="1">
        <f t="array" ref="AD11">_xlfn.XLOOKUP(1,(Store_Group!$B$4:$B$1532=$Y11)*(Store_Group!$C$4:$C$1532=AD$6),Store_Group!$D$4:$D$1532,"")</f>
        <v>A3</v>
      </c>
      <c r="AE11" s="54" t="str" cm="1">
        <f t="array" ref="AE11">_xlfn.XLOOKUP(1,(Store_Group!$B$4:$B$1532=$Y11)*(Store_Group!$C$4:$C$1532=AE$6),Store_Group!$D$4:$D$1532,"")</f>
        <v>B</v>
      </c>
      <c r="AF11" s="54" t="str" cm="1">
        <f t="array" ref="AF11">_xlfn.XLOOKUP(1,(Store_Group!$B$4:$B$1532=$Y11)*(Store_Group!$C$4:$C$1532=AF$6),Store_Group!$D$4:$D$1532,"")</f>
        <v>C</v>
      </c>
      <c r="AG11" s="54" t="str" cm="1">
        <f t="array" ref="AG11">_xlfn.XLOOKUP(1,(Store_Group!$B$4:$B$1532=$Y11)*(Store_Group!$C$4:$C$1532=AG$6),Store_Group!$D$4:$D$1532,"")</f>
        <v>C</v>
      </c>
      <c r="AI11" s="54">
        <f t="shared" si="11"/>
        <v>3</v>
      </c>
      <c r="AJ11" s="54">
        <f t="shared" si="0"/>
        <v>4</v>
      </c>
      <c r="AK11" s="54">
        <f t="shared" si="0"/>
        <v>2</v>
      </c>
      <c r="AL11" s="54">
        <f t="shared" si="0"/>
        <v>3</v>
      </c>
      <c r="AM11" s="54">
        <f t="shared" si="0"/>
        <v>4</v>
      </c>
      <c r="AN11" s="54">
        <f t="shared" si="0"/>
        <v>3</v>
      </c>
      <c r="AO11" s="54">
        <f t="shared" si="0"/>
        <v>2</v>
      </c>
      <c r="AP11" s="54">
        <f t="shared" si="0"/>
        <v>2</v>
      </c>
      <c r="AR11" s="54" t="s">
        <v>19</v>
      </c>
      <c r="AS11" s="54" t="s">
        <v>19</v>
      </c>
      <c r="AT11" s="54" t="s">
        <v>19</v>
      </c>
      <c r="AU11" s="54" t="s">
        <v>19</v>
      </c>
      <c r="AV11" s="54" t="s">
        <v>19</v>
      </c>
      <c r="AW11" s="54" t="s">
        <v>19</v>
      </c>
      <c r="AX11" s="54" t="s">
        <v>19</v>
      </c>
      <c r="AY11" s="54" t="s">
        <v>19</v>
      </c>
      <c r="BA11" s="54">
        <v>3</v>
      </c>
      <c r="BB11" s="54">
        <v>4</v>
      </c>
      <c r="BC11" s="54">
        <v>2</v>
      </c>
      <c r="BD11" s="54">
        <v>3</v>
      </c>
      <c r="BE11" s="54">
        <v>4</v>
      </c>
      <c r="BF11" s="54">
        <v>3</v>
      </c>
      <c r="BG11" s="54">
        <v>2</v>
      </c>
      <c r="BH11" s="54">
        <v>2</v>
      </c>
      <c r="BJ11" s="54">
        <v>1</v>
      </c>
      <c r="BK11" s="54">
        <v>2</v>
      </c>
      <c r="BL11" s="54">
        <v>4</v>
      </c>
      <c r="BM11" s="54">
        <v>2</v>
      </c>
      <c r="BN11" s="54">
        <v>3</v>
      </c>
      <c r="BO11" s="54">
        <v>0</v>
      </c>
      <c r="BP11" s="54">
        <v>1</v>
      </c>
      <c r="BQ11" s="54">
        <v>2</v>
      </c>
      <c r="BS11" s="75">
        <v>1</v>
      </c>
      <c r="BT11" s="54">
        <f t="shared" si="1"/>
        <v>2</v>
      </c>
      <c r="BU11" s="54">
        <f t="shared" si="2"/>
        <v>2</v>
      </c>
      <c r="BV11" s="54">
        <f t="shared" si="3"/>
        <v>0</v>
      </c>
      <c r="BW11" s="54">
        <f t="shared" si="4"/>
        <v>1</v>
      </c>
      <c r="BX11" s="54">
        <f t="shared" si="5"/>
        <v>1</v>
      </c>
      <c r="BY11" s="54">
        <f t="shared" si="6"/>
        <v>3</v>
      </c>
      <c r="BZ11" s="54">
        <f t="shared" si="7"/>
        <v>1</v>
      </c>
      <c r="CA11" s="54">
        <f t="shared" si="8"/>
        <v>0</v>
      </c>
      <c r="CB11" s="6">
        <v>517</v>
      </c>
      <c r="CC11" s="6">
        <f t="shared" si="9"/>
        <v>10</v>
      </c>
      <c r="CD11" s="6">
        <f t="shared" si="12"/>
        <v>507</v>
      </c>
    </row>
    <row r="12" spans="2:82" x14ac:dyDescent="0.25">
      <c r="B12" s="2">
        <v>6</v>
      </c>
      <c r="C12" s="4" t="s">
        <v>28</v>
      </c>
      <c r="D12" s="9">
        <v>91818</v>
      </c>
      <c r="E12" s="4" t="s">
        <v>37</v>
      </c>
      <c r="F12" s="4" t="s">
        <v>30</v>
      </c>
      <c r="G12" s="4" t="s">
        <v>31</v>
      </c>
      <c r="H12" s="5">
        <v>49.95</v>
      </c>
      <c r="I12" s="6">
        <v>1</v>
      </c>
      <c r="J12" s="6">
        <v>1</v>
      </c>
      <c r="K12" s="6" t="s">
        <v>19</v>
      </c>
      <c r="L12" s="6" t="s">
        <v>19</v>
      </c>
      <c r="M12" s="6" t="s">
        <v>25</v>
      </c>
      <c r="N12" s="6" t="s">
        <v>20</v>
      </c>
      <c r="O12" s="9">
        <f t="shared" si="10"/>
        <v>91818</v>
      </c>
      <c r="P12" s="9" t="s">
        <v>38</v>
      </c>
      <c r="Q12" s="6">
        <f>IFERROR(INDEX(Item_Code_allocation_table!$C$4:$I$15,MATCH(Main!$O12,Item_Code_allocation_table!$B$4:$B$15,0),MATCH(Main!Q$6,Item_Code_allocation_table!$C$3:$I$3,0)), INDEX(DPS_Code_allocation_table!$C$4:$I$15,MATCH(Main!$P12,DPS_Code_allocation_table!$B$4:$B$15,0),MATCH(Main!Q$6,DPS_Code_allocation_table!$C$3:$I$3,0)))</f>
        <v>6</v>
      </c>
      <c r="R12" s="6">
        <f>IFERROR(INDEX(Item_Code_allocation_table!$C$4:$I$15,MATCH(Main!$O12,Item_Code_allocation_table!$B$4:$B$15,0),MATCH(Main!R$6,Item_Code_allocation_table!$C$3:$I$3,0)), INDEX(DPS_Code_allocation_table!$C$4:$I$15,MATCH(Main!$P12,DPS_Code_allocation_table!$B$4:$B$15,0),MATCH(Main!R$6,DPS_Code_allocation_table!$C$3:$I$3,0)))</f>
        <v>3</v>
      </c>
      <c r="S12" s="6">
        <f>IFERROR(INDEX(Item_Code_allocation_table!$C$4:$I$15,MATCH(Main!$O12,Item_Code_allocation_table!$B$4:$B$15,0),MATCH(Main!S$6,Item_Code_allocation_table!$C$3:$I$3,0)), INDEX(DPS_Code_allocation_table!$C$4:$I$15,MATCH(Main!$P12,DPS_Code_allocation_table!$B$4:$B$15,0),MATCH(Main!S$6,DPS_Code_allocation_table!$C$3:$I$3,0)))</f>
        <v>2</v>
      </c>
      <c r="T12" s="6">
        <f>IFERROR(INDEX(Item_Code_allocation_table!$C$4:$I$15,MATCH(Main!$O12,Item_Code_allocation_table!$B$4:$B$15,0),MATCH(Main!T$6,Item_Code_allocation_table!$C$3:$I$3,0)), INDEX(DPS_Code_allocation_table!$C$4:$I$15,MATCH(Main!$P12,DPS_Code_allocation_table!$B$4:$B$15,0),MATCH(Main!T$6,DPS_Code_allocation_table!$C$3:$I$3,0)))</f>
        <v>2</v>
      </c>
      <c r="U12" s="6">
        <f>IFERROR(INDEX(Item_Code_allocation_table!$C$4:$I$15,MATCH(Main!$O12,Item_Code_allocation_table!$B$4:$B$15,0),MATCH(Main!U$6,Item_Code_allocation_table!$C$3:$I$3,0)), INDEX(DPS_Code_allocation_table!$C$4:$I$15,MATCH(Main!$P12,DPS_Code_allocation_table!$B$4:$B$15,0),MATCH(Main!U$6,DPS_Code_allocation_table!$C$3:$I$3,0)))</f>
        <v>1</v>
      </c>
      <c r="V12" s="6">
        <f>IFERROR(INDEX(Item_Code_allocation_table!$C$4:$I$15,MATCH(Main!$O12,Item_Code_allocation_table!$B$4:$B$15,0),MATCH(Main!V$6,Item_Code_allocation_table!$C$3:$I$3,0)), INDEX(DPS_Code_allocation_table!$C$4:$I$15,MATCH(Main!$P12,DPS_Code_allocation_table!$B$4:$B$15,0),MATCH(Main!V$6,DPS_Code_allocation_table!$C$3:$I$3,0)))</f>
        <v>1</v>
      </c>
      <c r="W12" s="6">
        <f>IFERROR(INDEX(Item_Code_allocation_table!$C$4:$I$15,MATCH(Main!$O12,Item_Code_allocation_table!$B$4:$B$15,0),MATCH(Main!W$6,Item_Code_allocation_table!$C$3:$I$3,0)), INDEX(DPS_Code_allocation_table!$C$4:$I$15,MATCH(Main!$P12,DPS_Code_allocation_table!$B$4:$B$15,0),MATCH(Main!W$6,DPS_Code_allocation_table!$C$3:$I$3,0)))</f>
        <v>1</v>
      </c>
      <c r="Y12" s="74" t="str">
        <f>VLOOKUP(C12,DCS_Pattern!B:C,2,FALSE)</f>
        <v>Pattern 06</v>
      </c>
      <c r="Z12" s="54" t="str" cm="1">
        <f t="array" ref="Z12">_xlfn.XLOOKUP(1,(Store_Group!$B$4:$B$1532=$Y12)*(Store_Group!$C$4:$C$1532=Z$6),Store_Group!$D$4:$D$1532,"")</f>
        <v>B</v>
      </c>
      <c r="AA12" s="54" t="str" cm="1">
        <f t="array" ref="AA12">_xlfn.XLOOKUP(1,(Store_Group!$B$4:$B$1532=$Y12)*(Store_Group!$C$4:$C$1532=AA$6),Store_Group!$D$4:$D$1532,"")</f>
        <v>A3</v>
      </c>
      <c r="AB12" s="54" t="str" cm="1">
        <f t="array" ref="AB12">_xlfn.XLOOKUP(1,(Store_Group!$B$4:$B$1532=$Y12)*(Store_Group!$C$4:$C$1532=AB$6),Store_Group!$D$4:$D$1532,"")</f>
        <v>C</v>
      </c>
      <c r="AC12" s="54" t="str" cm="1">
        <f t="array" ref="AC12">_xlfn.XLOOKUP(1,(Store_Group!$B$4:$B$1532=$Y12)*(Store_Group!$C$4:$C$1532=AC$6),Store_Group!$D$4:$D$1532,"")</f>
        <v>B</v>
      </c>
      <c r="AD12" s="54" t="str" cm="1">
        <f t="array" ref="AD12">_xlfn.XLOOKUP(1,(Store_Group!$B$4:$B$1532=$Y12)*(Store_Group!$C$4:$C$1532=AD$6),Store_Group!$D$4:$D$1532,"")</f>
        <v>A3</v>
      </c>
      <c r="AE12" s="54" t="str" cm="1">
        <f t="array" ref="AE12">_xlfn.XLOOKUP(1,(Store_Group!$B$4:$B$1532=$Y12)*(Store_Group!$C$4:$C$1532=AE$6),Store_Group!$D$4:$D$1532,"")</f>
        <v>B</v>
      </c>
      <c r="AF12" s="54" t="str" cm="1">
        <f t="array" ref="AF12">_xlfn.XLOOKUP(1,(Store_Group!$B$4:$B$1532=$Y12)*(Store_Group!$C$4:$C$1532=AF$6),Store_Group!$D$4:$D$1532,"")</f>
        <v>C</v>
      </c>
      <c r="AG12" s="54" t="str" cm="1">
        <f t="array" ref="AG12">_xlfn.XLOOKUP(1,(Store_Group!$B$4:$B$1532=$Y12)*(Store_Group!$C$4:$C$1532=AG$6),Store_Group!$D$4:$D$1532,"")</f>
        <v>C</v>
      </c>
      <c r="AI12" s="54">
        <f t="shared" si="11"/>
        <v>2</v>
      </c>
      <c r="AJ12" s="54">
        <f t="shared" si="0"/>
        <v>2</v>
      </c>
      <c r="AK12" s="54">
        <f t="shared" si="0"/>
        <v>1</v>
      </c>
      <c r="AL12" s="54">
        <f t="shared" si="0"/>
        <v>2</v>
      </c>
      <c r="AM12" s="54">
        <f t="shared" si="0"/>
        <v>2</v>
      </c>
      <c r="AN12" s="54">
        <f t="shared" si="0"/>
        <v>2</v>
      </c>
      <c r="AO12" s="54">
        <f t="shared" si="0"/>
        <v>1</v>
      </c>
      <c r="AP12" s="54">
        <f t="shared" si="0"/>
        <v>1</v>
      </c>
      <c r="AR12" s="54" t="s">
        <v>19</v>
      </c>
      <c r="AS12" s="54" t="s">
        <v>19</v>
      </c>
      <c r="AT12" s="54" t="s">
        <v>19</v>
      </c>
      <c r="AU12" s="54" t="s">
        <v>19</v>
      </c>
      <c r="AV12" s="54" t="s">
        <v>19</v>
      </c>
      <c r="AW12" s="54" t="s">
        <v>19</v>
      </c>
      <c r="AX12" s="54" t="s">
        <v>19</v>
      </c>
      <c r="AY12" s="54" t="s">
        <v>19</v>
      </c>
      <c r="BA12" s="54">
        <v>2</v>
      </c>
      <c r="BB12" s="54">
        <v>2</v>
      </c>
      <c r="BC12" s="54">
        <v>1</v>
      </c>
      <c r="BD12" s="54">
        <v>2</v>
      </c>
      <c r="BE12" s="54">
        <v>2</v>
      </c>
      <c r="BF12" s="54">
        <v>2</v>
      </c>
      <c r="BG12" s="54">
        <v>1</v>
      </c>
      <c r="BH12" s="54">
        <v>1</v>
      </c>
      <c r="BJ12" s="54">
        <v>4</v>
      </c>
      <c r="BK12" s="54">
        <v>0</v>
      </c>
      <c r="BL12" s="54">
        <v>3</v>
      </c>
      <c r="BM12" s="54">
        <v>0</v>
      </c>
      <c r="BN12" s="54">
        <v>3</v>
      </c>
      <c r="BO12" s="54">
        <v>1</v>
      </c>
      <c r="BP12" s="54">
        <v>0</v>
      </c>
      <c r="BQ12" s="54">
        <v>4</v>
      </c>
      <c r="BS12" s="75">
        <v>1</v>
      </c>
      <c r="BT12" s="54">
        <f t="shared" si="1"/>
        <v>0</v>
      </c>
      <c r="BU12" s="54">
        <f t="shared" si="2"/>
        <v>2</v>
      </c>
      <c r="BV12" s="54">
        <f t="shared" si="3"/>
        <v>0</v>
      </c>
      <c r="BW12" s="54">
        <f t="shared" si="4"/>
        <v>2</v>
      </c>
      <c r="BX12" s="54">
        <f t="shared" si="5"/>
        <v>0</v>
      </c>
      <c r="BY12" s="54">
        <f t="shared" si="6"/>
        <v>1</v>
      </c>
      <c r="BZ12" s="54">
        <f t="shared" si="7"/>
        <v>1</v>
      </c>
      <c r="CA12" s="54">
        <f t="shared" si="8"/>
        <v>0</v>
      </c>
      <c r="CB12" s="6">
        <v>125</v>
      </c>
      <c r="CC12" s="6">
        <f t="shared" si="9"/>
        <v>6</v>
      </c>
      <c r="CD12" s="6">
        <f t="shared" si="12"/>
        <v>119</v>
      </c>
    </row>
    <row r="13" spans="2:82" x14ac:dyDescent="0.25">
      <c r="B13" s="2">
        <v>7</v>
      </c>
      <c r="C13" s="4" t="s">
        <v>28</v>
      </c>
      <c r="D13" s="9">
        <v>91819</v>
      </c>
      <c r="E13" s="4" t="s">
        <v>39</v>
      </c>
      <c r="F13" s="4" t="s">
        <v>30</v>
      </c>
      <c r="G13" s="4" t="s">
        <v>31</v>
      </c>
      <c r="H13" s="5">
        <v>49.95</v>
      </c>
      <c r="I13" s="6">
        <v>1</v>
      </c>
      <c r="J13" s="6">
        <v>1</v>
      </c>
      <c r="K13" s="6" t="s">
        <v>19</v>
      </c>
      <c r="L13" s="6" t="s">
        <v>19</v>
      </c>
      <c r="M13" s="6" t="s">
        <v>25</v>
      </c>
      <c r="N13" s="6" t="s">
        <v>20</v>
      </c>
      <c r="O13" s="9">
        <f t="shared" si="10"/>
        <v>91819</v>
      </c>
      <c r="P13" s="9" t="s">
        <v>40</v>
      </c>
      <c r="Q13" s="6">
        <f>IFERROR(INDEX(Item_Code_allocation_table!$C$4:$I$15,MATCH(Main!$O13,Item_Code_allocation_table!$B$4:$B$15,0),MATCH(Main!Q$6,Item_Code_allocation_table!$C$3:$I$3,0)), INDEX(DPS_Code_allocation_table!$C$4:$I$15,MATCH(Main!$P13,DPS_Code_allocation_table!$B$4:$B$15,0),MATCH(Main!Q$6,DPS_Code_allocation_table!$C$3:$I$3,0)))</f>
        <v>4</v>
      </c>
      <c r="R13" s="6">
        <f>IFERROR(INDEX(Item_Code_allocation_table!$C$4:$I$15,MATCH(Main!$O13,Item_Code_allocation_table!$B$4:$B$15,0),MATCH(Main!R$6,Item_Code_allocation_table!$C$3:$I$3,0)), INDEX(DPS_Code_allocation_table!$C$4:$I$15,MATCH(Main!$P13,DPS_Code_allocation_table!$B$4:$B$15,0),MATCH(Main!R$6,DPS_Code_allocation_table!$C$3:$I$3,0)))</f>
        <v>2</v>
      </c>
      <c r="S13" s="6">
        <f>IFERROR(INDEX(Item_Code_allocation_table!$C$4:$I$15,MATCH(Main!$O13,Item_Code_allocation_table!$B$4:$B$15,0),MATCH(Main!S$6,Item_Code_allocation_table!$C$3:$I$3,0)), INDEX(DPS_Code_allocation_table!$C$4:$I$15,MATCH(Main!$P13,DPS_Code_allocation_table!$B$4:$B$15,0),MATCH(Main!S$6,DPS_Code_allocation_table!$C$3:$I$3,0)))</f>
        <v>2</v>
      </c>
      <c r="T13" s="6">
        <f>IFERROR(INDEX(Item_Code_allocation_table!$C$4:$I$15,MATCH(Main!$O13,Item_Code_allocation_table!$B$4:$B$15,0),MATCH(Main!T$6,Item_Code_allocation_table!$C$3:$I$3,0)), INDEX(DPS_Code_allocation_table!$C$4:$I$15,MATCH(Main!$P13,DPS_Code_allocation_table!$B$4:$B$15,0),MATCH(Main!T$6,DPS_Code_allocation_table!$C$3:$I$3,0)))</f>
        <v>1</v>
      </c>
      <c r="U13" s="6">
        <f>IFERROR(INDEX(Item_Code_allocation_table!$C$4:$I$15,MATCH(Main!$O13,Item_Code_allocation_table!$B$4:$B$15,0),MATCH(Main!U$6,Item_Code_allocation_table!$C$3:$I$3,0)), INDEX(DPS_Code_allocation_table!$C$4:$I$15,MATCH(Main!$P13,DPS_Code_allocation_table!$B$4:$B$15,0),MATCH(Main!U$6,DPS_Code_allocation_table!$C$3:$I$3,0)))</f>
        <v>1</v>
      </c>
      <c r="V13" s="6">
        <f>IFERROR(INDEX(Item_Code_allocation_table!$C$4:$I$15,MATCH(Main!$O13,Item_Code_allocation_table!$B$4:$B$15,0),MATCH(Main!V$6,Item_Code_allocation_table!$C$3:$I$3,0)), INDEX(DPS_Code_allocation_table!$C$4:$I$15,MATCH(Main!$P13,DPS_Code_allocation_table!$B$4:$B$15,0),MATCH(Main!V$6,DPS_Code_allocation_table!$C$3:$I$3,0)))</f>
        <v>1</v>
      </c>
      <c r="W13" s="6">
        <f>IFERROR(INDEX(Item_Code_allocation_table!$C$4:$I$15,MATCH(Main!$O13,Item_Code_allocation_table!$B$4:$B$15,0),MATCH(Main!W$6,Item_Code_allocation_table!$C$3:$I$3,0)), INDEX(DPS_Code_allocation_table!$C$4:$I$15,MATCH(Main!$P13,DPS_Code_allocation_table!$B$4:$B$15,0),MATCH(Main!W$6,DPS_Code_allocation_table!$C$3:$I$3,0)))</f>
        <v>1</v>
      </c>
      <c r="Y13" s="74" t="str">
        <f>VLOOKUP(C13,DCS_Pattern!B:C,2,FALSE)</f>
        <v>Pattern 06</v>
      </c>
      <c r="Z13" s="54" t="str" cm="1">
        <f t="array" ref="Z13">_xlfn.XLOOKUP(1,(Store_Group!$B$4:$B$1532=$Y13)*(Store_Group!$C$4:$C$1532=Z$6),Store_Group!$D$4:$D$1532,"")</f>
        <v>B</v>
      </c>
      <c r="AA13" s="54" t="str" cm="1">
        <f t="array" ref="AA13">_xlfn.XLOOKUP(1,(Store_Group!$B$4:$B$1532=$Y13)*(Store_Group!$C$4:$C$1532=AA$6),Store_Group!$D$4:$D$1532,"")</f>
        <v>A3</v>
      </c>
      <c r="AB13" s="54" t="str" cm="1">
        <f t="array" ref="AB13">_xlfn.XLOOKUP(1,(Store_Group!$B$4:$B$1532=$Y13)*(Store_Group!$C$4:$C$1532=AB$6),Store_Group!$D$4:$D$1532,"")</f>
        <v>C</v>
      </c>
      <c r="AC13" s="54" t="str" cm="1">
        <f t="array" ref="AC13">_xlfn.XLOOKUP(1,(Store_Group!$B$4:$B$1532=$Y13)*(Store_Group!$C$4:$C$1532=AC$6),Store_Group!$D$4:$D$1532,"")</f>
        <v>B</v>
      </c>
      <c r="AD13" s="54" t="str" cm="1">
        <f t="array" ref="AD13">_xlfn.XLOOKUP(1,(Store_Group!$B$4:$B$1532=$Y13)*(Store_Group!$C$4:$C$1532=AD$6),Store_Group!$D$4:$D$1532,"")</f>
        <v>A3</v>
      </c>
      <c r="AE13" s="54" t="str" cm="1">
        <f t="array" ref="AE13">_xlfn.XLOOKUP(1,(Store_Group!$B$4:$B$1532=$Y13)*(Store_Group!$C$4:$C$1532=AE$6),Store_Group!$D$4:$D$1532,"")</f>
        <v>B</v>
      </c>
      <c r="AF13" s="54" t="str" cm="1">
        <f t="array" ref="AF13">_xlfn.XLOOKUP(1,(Store_Group!$B$4:$B$1532=$Y13)*(Store_Group!$C$4:$C$1532=AF$6),Store_Group!$D$4:$D$1532,"")</f>
        <v>C</v>
      </c>
      <c r="AG13" s="54" t="str" cm="1">
        <f t="array" ref="AG13">_xlfn.XLOOKUP(1,(Store_Group!$B$4:$B$1532=$Y13)*(Store_Group!$C$4:$C$1532=AG$6),Store_Group!$D$4:$D$1532,"")</f>
        <v>C</v>
      </c>
      <c r="AI13" s="54">
        <f t="shared" si="11"/>
        <v>1</v>
      </c>
      <c r="AJ13" s="54">
        <f t="shared" si="0"/>
        <v>2</v>
      </c>
      <c r="AK13" s="54">
        <f t="shared" si="0"/>
        <v>1</v>
      </c>
      <c r="AL13" s="54">
        <f t="shared" si="0"/>
        <v>1</v>
      </c>
      <c r="AM13" s="54">
        <f t="shared" si="0"/>
        <v>2</v>
      </c>
      <c r="AN13" s="54">
        <f t="shared" si="0"/>
        <v>1</v>
      </c>
      <c r="AO13" s="54">
        <f t="shared" si="0"/>
        <v>1</v>
      </c>
      <c r="AP13" s="54">
        <f t="shared" si="0"/>
        <v>1</v>
      </c>
      <c r="AR13" s="54" t="s">
        <v>19</v>
      </c>
      <c r="AS13" s="54" t="s">
        <v>19</v>
      </c>
      <c r="AT13" s="54" t="s">
        <v>19</v>
      </c>
      <c r="AU13" s="54" t="s">
        <v>19</v>
      </c>
      <c r="AV13" s="54" t="s">
        <v>19</v>
      </c>
      <c r="AW13" s="54" t="s">
        <v>19</v>
      </c>
      <c r="AX13" s="54" t="s">
        <v>19</v>
      </c>
      <c r="AY13" s="54" t="s">
        <v>19</v>
      </c>
      <c r="BA13" s="54">
        <v>1</v>
      </c>
      <c r="BB13" s="54">
        <v>2</v>
      </c>
      <c r="BC13" s="54">
        <v>1</v>
      </c>
      <c r="BD13" s="54">
        <v>1</v>
      </c>
      <c r="BE13" s="54">
        <v>2</v>
      </c>
      <c r="BF13" s="54">
        <v>1</v>
      </c>
      <c r="BG13" s="54">
        <v>1</v>
      </c>
      <c r="BH13" s="54">
        <v>1</v>
      </c>
      <c r="BJ13" s="54">
        <v>2</v>
      </c>
      <c r="BK13" s="54">
        <v>1</v>
      </c>
      <c r="BL13" s="54">
        <v>1</v>
      </c>
      <c r="BM13" s="54">
        <v>4</v>
      </c>
      <c r="BN13" s="54">
        <v>4</v>
      </c>
      <c r="BO13" s="54">
        <v>4</v>
      </c>
      <c r="BP13" s="54">
        <v>1</v>
      </c>
      <c r="BQ13" s="54">
        <v>4</v>
      </c>
      <c r="BS13" s="75">
        <v>1</v>
      </c>
      <c r="BT13" s="54">
        <f t="shared" si="1"/>
        <v>0</v>
      </c>
      <c r="BU13" s="54">
        <f t="shared" si="2"/>
        <v>1</v>
      </c>
      <c r="BV13" s="54">
        <f t="shared" si="3"/>
        <v>0</v>
      </c>
      <c r="BW13" s="54">
        <f t="shared" si="4"/>
        <v>0</v>
      </c>
      <c r="BX13" s="54">
        <f t="shared" si="5"/>
        <v>0</v>
      </c>
      <c r="BY13" s="54">
        <f t="shared" si="6"/>
        <v>0</v>
      </c>
      <c r="BZ13" s="54">
        <f t="shared" si="7"/>
        <v>0</v>
      </c>
      <c r="CA13" s="54">
        <f t="shared" si="8"/>
        <v>0</v>
      </c>
      <c r="CB13" s="6">
        <v>43</v>
      </c>
      <c r="CC13" s="6">
        <f t="shared" si="9"/>
        <v>1</v>
      </c>
      <c r="CD13" s="6">
        <f t="shared" si="12"/>
        <v>42</v>
      </c>
    </row>
    <row r="14" spans="2:82" x14ac:dyDescent="0.25">
      <c r="B14" s="2">
        <v>8</v>
      </c>
      <c r="C14" s="4" t="s">
        <v>41</v>
      </c>
      <c r="D14" s="9">
        <v>90829</v>
      </c>
      <c r="E14" s="4" t="s">
        <v>42</v>
      </c>
      <c r="F14" s="4" t="s">
        <v>25</v>
      </c>
      <c r="G14" s="4" t="s">
        <v>43</v>
      </c>
      <c r="H14" s="5">
        <v>9.9499999999999993</v>
      </c>
      <c r="I14" s="6">
        <v>10</v>
      </c>
      <c r="J14" s="6">
        <v>8</v>
      </c>
      <c r="K14" s="6" t="s">
        <v>19</v>
      </c>
      <c r="L14" s="6" t="s">
        <v>24</v>
      </c>
      <c r="M14" s="6" t="s">
        <v>25</v>
      </c>
      <c r="N14" s="6" t="s">
        <v>20</v>
      </c>
      <c r="O14" s="9">
        <f t="shared" si="10"/>
        <v>90829</v>
      </c>
      <c r="P14" s="9" t="s">
        <v>44</v>
      </c>
      <c r="Q14" s="6">
        <f>IFERROR(INDEX(Item_Code_allocation_table!$C$4:$I$15,MATCH(Main!$O14,Item_Code_allocation_table!$B$4:$B$15,0),MATCH(Main!Q$6,Item_Code_allocation_table!$C$3:$I$3,0)), INDEX(DPS_Code_allocation_table!$C$4:$I$15,MATCH(Main!$P14,DPS_Code_allocation_table!$B$4:$B$15,0),MATCH(Main!Q$6,DPS_Code_allocation_table!$C$3:$I$3,0)))</f>
        <v>80</v>
      </c>
      <c r="R14" s="6">
        <f>IFERROR(INDEX(Item_Code_allocation_table!$C$4:$I$15,MATCH(Main!$O14,Item_Code_allocation_table!$B$4:$B$15,0),MATCH(Main!R$6,Item_Code_allocation_table!$C$3:$I$3,0)), INDEX(DPS_Code_allocation_table!$C$4:$I$15,MATCH(Main!$P14,DPS_Code_allocation_table!$B$4:$B$15,0),MATCH(Main!R$6,DPS_Code_allocation_table!$C$3:$I$3,0)))</f>
        <v>60</v>
      </c>
      <c r="S14" s="6">
        <f>IFERROR(INDEX(Item_Code_allocation_table!$C$4:$I$15,MATCH(Main!$O14,Item_Code_allocation_table!$B$4:$B$15,0),MATCH(Main!S$6,Item_Code_allocation_table!$C$3:$I$3,0)), INDEX(DPS_Code_allocation_table!$C$4:$I$15,MATCH(Main!$P14,DPS_Code_allocation_table!$B$4:$B$15,0),MATCH(Main!S$6,DPS_Code_allocation_table!$C$3:$I$3,0)))</f>
        <v>50</v>
      </c>
      <c r="T14" s="6">
        <f>IFERROR(INDEX(Item_Code_allocation_table!$C$4:$I$15,MATCH(Main!$O14,Item_Code_allocation_table!$B$4:$B$15,0),MATCH(Main!T$6,Item_Code_allocation_table!$C$3:$I$3,0)), INDEX(DPS_Code_allocation_table!$C$4:$I$15,MATCH(Main!$P14,DPS_Code_allocation_table!$B$4:$B$15,0),MATCH(Main!T$6,DPS_Code_allocation_table!$C$3:$I$3,0)))</f>
        <v>40</v>
      </c>
      <c r="U14" s="6">
        <f>IFERROR(INDEX(Item_Code_allocation_table!$C$4:$I$15,MATCH(Main!$O14,Item_Code_allocation_table!$B$4:$B$15,0),MATCH(Main!U$6,Item_Code_allocation_table!$C$3:$I$3,0)), INDEX(DPS_Code_allocation_table!$C$4:$I$15,MATCH(Main!$P14,DPS_Code_allocation_table!$B$4:$B$15,0),MATCH(Main!U$6,DPS_Code_allocation_table!$C$3:$I$3,0)))</f>
        <v>30</v>
      </c>
      <c r="V14" s="6">
        <f>IFERROR(INDEX(Item_Code_allocation_table!$C$4:$I$15,MATCH(Main!$O14,Item_Code_allocation_table!$B$4:$B$15,0),MATCH(Main!V$6,Item_Code_allocation_table!$C$3:$I$3,0)), INDEX(DPS_Code_allocation_table!$C$4:$I$15,MATCH(Main!$P14,DPS_Code_allocation_table!$B$4:$B$15,0),MATCH(Main!V$6,DPS_Code_allocation_table!$C$3:$I$3,0)))</f>
        <v>20</v>
      </c>
      <c r="W14" s="6">
        <f>IFERROR(INDEX(Item_Code_allocation_table!$C$4:$I$15,MATCH(Main!$O14,Item_Code_allocation_table!$B$4:$B$15,0),MATCH(Main!W$6,Item_Code_allocation_table!$C$3:$I$3,0)), INDEX(DPS_Code_allocation_table!$C$4:$I$15,MATCH(Main!$P14,DPS_Code_allocation_table!$B$4:$B$15,0),MATCH(Main!W$6,DPS_Code_allocation_table!$C$3:$I$3,0)))</f>
        <v>10</v>
      </c>
      <c r="Y14" s="74" t="str">
        <f>VLOOKUP(C14,DCS_Pattern!B:C,2,FALSE)</f>
        <v>Pattern 01</v>
      </c>
      <c r="Z14" s="54" t="str" cm="1">
        <f t="array" ref="Z14">_xlfn.XLOOKUP(1,(Store_Group!$B$4:$B$1532=$Y14)*(Store_Group!$C$4:$C$1532=Z$6),Store_Group!$D$4:$D$1532,"")</f>
        <v>B</v>
      </c>
      <c r="AA14" s="54" t="str" cm="1">
        <f t="array" ref="AA14">_xlfn.XLOOKUP(1,(Store_Group!$B$4:$B$1532=$Y14)*(Store_Group!$C$4:$C$1532=AA$6),Store_Group!$D$4:$D$1532,"")</f>
        <v>A3</v>
      </c>
      <c r="AB14" s="54" t="str" cm="1">
        <f t="array" ref="AB14">_xlfn.XLOOKUP(1,(Store_Group!$B$4:$B$1532=$Y14)*(Store_Group!$C$4:$C$1532=AB$6),Store_Group!$D$4:$D$1532,"")</f>
        <v>C</v>
      </c>
      <c r="AC14" s="54" t="str" cm="1">
        <f t="array" ref="AC14">_xlfn.XLOOKUP(1,(Store_Group!$B$4:$B$1532=$Y14)*(Store_Group!$C$4:$C$1532=AC$6),Store_Group!$D$4:$D$1532,"")</f>
        <v>C</v>
      </c>
      <c r="AD14" s="54" t="str" cm="1">
        <f t="array" ref="AD14">_xlfn.XLOOKUP(1,(Store_Group!$B$4:$B$1532=$Y14)*(Store_Group!$C$4:$C$1532=AD$6),Store_Group!$D$4:$D$1532,"")</f>
        <v>A3</v>
      </c>
      <c r="AE14" s="54" t="str" cm="1">
        <f t="array" ref="AE14">_xlfn.XLOOKUP(1,(Store_Group!$B$4:$B$1532=$Y14)*(Store_Group!$C$4:$C$1532=AE$6),Store_Group!$D$4:$D$1532,"")</f>
        <v>B</v>
      </c>
      <c r="AF14" s="54" t="str" cm="1">
        <f t="array" ref="AF14">_xlfn.XLOOKUP(1,(Store_Group!$B$4:$B$1532=$Y14)*(Store_Group!$C$4:$C$1532=AF$6),Store_Group!$D$4:$D$1532,"")</f>
        <v>C</v>
      </c>
      <c r="AG14" s="54" t="str" cm="1">
        <f t="array" ref="AG14">_xlfn.XLOOKUP(1,(Store_Group!$B$4:$B$1532=$Y14)*(Store_Group!$C$4:$C$1532=AG$6),Store_Group!$D$4:$D$1532,"")</f>
        <v>C</v>
      </c>
      <c r="AI14" s="54">
        <f t="shared" si="11"/>
        <v>40</v>
      </c>
      <c r="AJ14" s="54">
        <f t="shared" si="0"/>
        <v>50</v>
      </c>
      <c r="AK14" s="54">
        <f t="shared" si="0"/>
        <v>30</v>
      </c>
      <c r="AL14" s="54">
        <f t="shared" si="0"/>
        <v>30</v>
      </c>
      <c r="AM14" s="54">
        <f t="shared" si="0"/>
        <v>50</v>
      </c>
      <c r="AN14" s="54">
        <f t="shared" si="0"/>
        <v>40</v>
      </c>
      <c r="AO14" s="54">
        <f t="shared" si="0"/>
        <v>30</v>
      </c>
      <c r="AP14" s="54">
        <f t="shared" si="0"/>
        <v>30</v>
      </c>
      <c r="AR14" s="54" t="s">
        <v>19</v>
      </c>
      <c r="AS14" s="54" t="s">
        <v>19</v>
      </c>
      <c r="AT14" s="54" t="s">
        <v>19</v>
      </c>
      <c r="AU14" s="54" t="s">
        <v>19</v>
      </c>
      <c r="AV14" s="54" t="s">
        <v>19</v>
      </c>
      <c r="AW14" s="54" t="s">
        <v>19</v>
      </c>
      <c r="AX14" s="54" t="s">
        <v>19</v>
      </c>
      <c r="AY14" s="54" t="s">
        <v>19</v>
      </c>
      <c r="BA14" s="54">
        <v>40</v>
      </c>
      <c r="BB14" s="54">
        <v>50</v>
      </c>
      <c r="BC14" s="54">
        <v>30</v>
      </c>
      <c r="BD14" s="54">
        <v>30</v>
      </c>
      <c r="BE14" s="54">
        <v>50</v>
      </c>
      <c r="BF14" s="54">
        <v>40</v>
      </c>
      <c r="BG14" s="54">
        <v>30</v>
      </c>
      <c r="BH14" s="54">
        <v>30</v>
      </c>
      <c r="BJ14" s="54">
        <v>0</v>
      </c>
      <c r="BK14" s="54">
        <v>2</v>
      </c>
      <c r="BL14" s="54">
        <v>2</v>
      </c>
      <c r="BM14" s="54">
        <v>0</v>
      </c>
      <c r="BN14" s="54">
        <v>1</v>
      </c>
      <c r="BO14" s="54">
        <v>0</v>
      </c>
      <c r="BP14" s="54">
        <v>4</v>
      </c>
      <c r="BQ14" s="54">
        <v>2</v>
      </c>
      <c r="BS14" s="75">
        <v>10</v>
      </c>
      <c r="BT14" s="54">
        <f t="shared" si="1"/>
        <v>40</v>
      </c>
      <c r="BU14" s="54">
        <f t="shared" si="2"/>
        <v>50</v>
      </c>
      <c r="BV14" s="54">
        <f t="shared" si="3"/>
        <v>30</v>
      </c>
      <c r="BW14" s="54">
        <f t="shared" si="4"/>
        <v>30</v>
      </c>
      <c r="BX14" s="54">
        <f t="shared" si="5"/>
        <v>50</v>
      </c>
      <c r="BY14" s="54">
        <f t="shared" si="6"/>
        <v>40</v>
      </c>
      <c r="BZ14" s="54">
        <f t="shared" si="7"/>
        <v>30</v>
      </c>
      <c r="CA14" s="54">
        <f t="shared" si="8"/>
        <v>30</v>
      </c>
      <c r="CB14" s="6">
        <v>540</v>
      </c>
      <c r="CC14" s="6">
        <f t="shared" si="9"/>
        <v>300</v>
      </c>
      <c r="CD14" s="6">
        <f t="shared" si="12"/>
        <v>240</v>
      </c>
    </row>
    <row r="15" spans="2:82" x14ac:dyDescent="0.25">
      <c r="B15" s="2">
        <v>9</v>
      </c>
      <c r="C15" s="4" t="s">
        <v>45</v>
      </c>
      <c r="D15" s="9">
        <v>3764</v>
      </c>
      <c r="E15" s="4" t="s">
        <v>46</v>
      </c>
      <c r="F15" s="4" t="s">
        <v>25</v>
      </c>
      <c r="G15" s="4" t="s">
        <v>43</v>
      </c>
      <c r="H15" s="5">
        <v>4.95</v>
      </c>
      <c r="I15" s="6">
        <v>18</v>
      </c>
      <c r="J15" s="6">
        <v>12</v>
      </c>
      <c r="K15" s="6" t="s">
        <v>19</v>
      </c>
      <c r="L15" s="6" t="s">
        <v>19</v>
      </c>
      <c r="M15" s="6" t="s">
        <v>25</v>
      </c>
      <c r="N15" s="6" t="s">
        <v>25</v>
      </c>
      <c r="O15" s="9">
        <f t="shared" si="10"/>
        <v>3764</v>
      </c>
      <c r="P15" s="9" t="s">
        <v>47</v>
      </c>
      <c r="Q15" s="6">
        <f>IFERROR(INDEX(Item_Code_allocation_table!$C$4:$I$15,MATCH(Main!$O15,Item_Code_allocation_table!$B$4:$B$15,0),MATCH(Main!Q$6,Item_Code_allocation_table!$C$3:$I$3,0)), INDEX(DPS_Code_allocation_table!$C$4:$I$15,MATCH(Main!$P15,DPS_Code_allocation_table!$B$4:$B$15,0),MATCH(Main!Q$6,DPS_Code_allocation_table!$C$3:$I$3,0)))</f>
        <v>24</v>
      </c>
      <c r="R15" s="6">
        <f>IFERROR(INDEX(Item_Code_allocation_table!$C$4:$I$15,MATCH(Main!$O15,Item_Code_allocation_table!$B$4:$B$15,0),MATCH(Main!R$6,Item_Code_allocation_table!$C$3:$I$3,0)), INDEX(DPS_Code_allocation_table!$C$4:$I$15,MATCH(Main!$P15,DPS_Code_allocation_table!$B$4:$B$15,0),MATCH(Main!R$6,DPS_Code_allocation_table!$C$3:$I$3,0)))</f>
        <v>20</v>
      </c>
      <c r="S15" s="6">
        <f>IFERROR(INDEX(Item_Code_allocation_table!$C$4:$I$15,MATCH(Main!$O15,Item_Code_allocation_table!$B$4:$B$15,0),MATCH(Main!S$6,Item_Code_allocation_table!$C$3:$I$3,0)), INDEX(DPS_Code_allocation_table!$C$4:$I$15,MATCH(Main!$P15,DPS_Code_allocation_table!$B$4:$B$15,0),MATCH(Main!S$6,DPS_Code_allocation_table!$C$3:$I$3,0)))</f>
        <v>20</v>
      </c>
      <c r="T15" s="6">
        <f>IFERROR(INDEX(Item_Code_allocation_table!$C$4:$I$15,MATCH(Main!$O15,Item_Code_allocation_table!$B$4:$B$15,0),MATCH(Main!T$6,Item_Code_allocation_table!$C$3:$I$3,0)), INDEX(DPS_Code_allocation_table!$C$4:$I$15,MATCH(Main!$P15,DPS_Code_allocation_table!$B$4:$B$15,0),MATCH(Main!T$6,DPS_Code_allocation_table!$C$3:$I$3,0)))</f>
        <v>18</v>
      </c>
      <c r="U15" s="6">
        <f>IFERROR(INDEX(Item_Code_allocation_table!$C$4:$I$15,MATCH(Main!$O15,Item_Code_allocation_table!$B$4:$B$15,0),MATCH(Main!U$6,Item_Code_allocation_table!$C$3:$I$3,0)), INDEX(DPS_Code_allocation_table!$C$4:$I$15,MATCH(Main!$P15,DPS_Code_allocation_table!$B$4:$B$15,0),MATCH(Main!U$6,DPS_Code_allocation_table!$C$3:$I$3,0)))</f>
        <v>16</v>
      </c>
      <c r="V15" s="6">
        <f>IFERROR(INDEX(Item_Code_allocation_table!$C$4:$I$15,MATCH(Main!$O15,Item_Code_allocation_table!$B$4:$B$15,0),MATCH(Main!V$6,Item_Code_allocation_table!$C$3:$I$3,0)), INDEX(DPS_Code_allocation_table!$C$4:$I$15,MATCH(Main!$P15,DPS_Code_allocation_table!$B$4:$B$15,0),MATCH(Main!V$6,DPS_Code_allocation_table!$C$3:$I$3,0)))</f>
        <v>12</v>
      </c>
      <c r="W15" s="6">
        <f>IFERROR(INDEX(Item_Code_allocation_table!$C$4:$I$15,MATCH(Main!$O15,Item_Code_allocation_table!$B$4:$B$15,0),MATCH(Main!W$6,Item_Code_allocation_table!$C$3:$I$3,0)), INDEX(DPS_Code_allocation_table!$C$4:$I$15,MATCH(Main!$P15,DPS_Code_allocation_table!$B$4:$B$15,0),MATCH(Main!W$6,DPS_Code_allocation_table!$C$3:$I$3,0)))</f>
        <v>12</v>
      </c>
      <c r="Y15" s="74" t="str">
        <f>VLOOKUP(C15,DCS_Pattern!B:C,2,FALSE)</f>
        <v>Pattern 05</v>
      </c>
      <c r="Z15" s="54" t="str" cm="1">
        <f t="array" ref="Z15">_xlfn.XLOOKUP(1,(Store_Group!$B$4:$B$1532=$Y15)*(Store_Group!$C$4:$C$1532=Z$6),Store_Group!$D$4:$D$1532,"")</f>
        <v>C</v>
      </c>
      <c r="AA15" s="54" t="str" cm="1">
        <f t="array" ref="AA15">_xlfn.XLOOKUP(1,(Store_Group!$B$4:$B$1532=$Y15)*(Store_Group!$C$4:$C$1532=AA$6),Store_Group!$D$4:$D$1532,"")</f>
        <v>A2</v>
      </c>
      <c r="AB15" s="54" t="str" cm="1">
        <f t="array" ref="AB15">_xlfn.XLOOKUP(1,(Store_Group!$B$4:$B$1532=$Y15)*(Store_Group!$C$4:$C$1532=AB$6),Store_Group!$D$4:$D$1532,"")</f>
        <v>A2</v>
      </c>
      <c r="AC15" s="54" t="str" cm="1">
        <f t="array" ref="AC15">_xlfn.XLOOKUP(1,(Store_Group!$B$4:$B$1532=$Y15)*(Store_Group!$C$4:$C$1532=AC$6),Store_Group!$D$4:$D$1532,"")</f>
        <v>C</v>
      </c>
      <c r="AD15" s="54" t="str" cm="1">
        <f t="array" ref="AD15">_xlfn.XLOOKUP(1,(Store_Group!$B$4:$B$1532=$Y15)*(Store_Group!$C$4:$C$1532=AD$6),Store_Group!$D$4:$D$1532,"")</f>
        <v>A3</v>
      </c>
      <c r="AE15" s="54" t="str" cm="1">
        <f t="array" ref="AE15">_xlfn.XLOOKUP(1,(Store_Group!$B$4:$B$1532=$Y15)*(Store_Group!$C$4:$C$1532=AE$6),Store_Group!$D$4:$D$1532,"")</f>
        <v>B</v>
      </c>
      <c r="AF15" s="54" t="str" cm="1">
        <f t="array" ref="AF15">_xlfn.XLOOKUP(1,(Store_Group!$B$4:$B$1532=$Y15)*(Store_Group!$C$4:$C$1532=AF$6),Store_Group!$D$4:$D$1532,"")</f>
        <v>C</v>
      </c>
      <c r="AG15" s="54" t="str" cm="1">
        <f t="array" ref="AG15">_xlfn.XLOOKUP(1,(Store_Group!$B$4:$B$1532=$Y15)*(Store_Group!$C$4:$C$1532=AG$6),Store_Group!$D$4:$D$1532,"")</f>
        <v>B</v>
      </c>
      <c r="AI15" s="54">
        <f t="shared" si="11"/>
        <v>16</v>
      </c>
      <c r="AJ15" s="54">
        <f t="shared" si="0"/>
        <v>20</v>
      </c>
      <c r="AK15" s="54">
        <f t="shared" si="0"/>
        <v>20</v>
      </c>
      <c r="AL15" s="54">
        <f t="shared" si="0"/>
        <v>16</v>
      </c>
      <c r="AM15" s="54">
        <f t="shared" si="0"/>
        <v>20</v>
      </c>
      <c r="AN15" s="54">
        <f t="shared" si="0"/>
        <v>18</v>
      </c>
      <c r="AO15" s="54">
        <f t="shared" si="0"/>
        <v>16</v>
      </c>
      <c r="AP15" s="54">
        <f t="shared" si="0"/>
        <v>18</v>
      </c>
      <c r="AR15" s="54" t="s">
        <v>19</v>
      </c>
      <c r="AS15" s="54" t="s">
        <v>19</v>
      </c>
      <c r="AT15" s="54" t="s">
        <v>19</v>
      </c>
      <c r="AU15" s="54" t="s">
        <v>19</v>
      </c>
      <c r="AV15" s="54" t="s">
        <v>19</v>
      </c>
      <c r="AW15" s="54" t="s">
        <v>19</v>
      </c>
      <c r="AX15" s="54" t="s">
        <v>19</v>
      </c>
      <c r="AY15" s="54" t="s">
        <v>19</v>
      </c>
      <c r="BA15" s="54">
        <v>16</v>
      </c>
      <c r="BB15" s="54">
        <v>20</v>
      </c>
      <c r="BC15" s="54">
        <v>20</v>
      </c>
      <c r="BD15" s="54">
        <v>16</v>
      </c>
      <c r="BE15" s="54">
        <v>20</v>
      </c>
      <c r="BF15" s="54">
        <v>18</v>
      </c>
      <c r="BG15" s="54">
        <v>16</v>
      </c>
      <c r="BH15" s="54">
        <v>18</v>
      </c>
      <c r="BJ15" s="54">
        <v>3</v>
      </c>
      <c r="BK15" s="54">
        <v>0</v>
      </c>
      <c r="BL15" s="54">
        <v>4</v>
      </c>
      <c r="BM15" s="54">
        <v>4</v>
      </c>
      <c r="BN15" s="54">
        <v>4</v>
      </c>
      <c r="BO15" s="54">
        <v>2</v>
      </c>
      <c r="BP15" s="54">
        <v>2</v>
      </c>
      <c r="BQ15" s="54">
        <v>0</v>
      </c>
      <c r="BS15" s="75">
        <v>18</v>
      </c>
      <c r="BT15" s="54">
        <f t="shared" si="1"/>
        <v>18</v>
      </c>
      <c r="BU15" s="54">
        <f t="shared" si="2"/>
        <v>18</v>
      </c>
      <c r="BV15" s="54">
        <f t="shared" si="3"/>
        <v>18</v>
      </c>
      <c r="BW15" s="54">
        <f t="shared" si="4"/>
        <v>18</v>
      </c>
      <c r="BX15" s="54">
        <f t="shared" si="5"/>
        <v>18</v>
      </c>
      <c r="BY15" s="54">
        <f t="shared" si="6"/>
        <v>18</v>
      </c>
      <c r="BZ15" s="54">
        <f t="shared" si="7"/>
        <v>18</v>
      </c>
      <c r="CA15" s="54">
        <f t="shared" si="8"/>
        <v>18</v>
      </c>
      <c r="CB15" s="6">
        <v>918</v>
      </c>
      <c r="CC15" s="6">
        <f t="shared" si="9"/>
        <v>144</v>
      </c>
      <c r="CD15" s="6">
        <f t="shared" si="12"/>
        <v>774</v>
      </c>
    </row>
    <row r="16" spans="2:82" x14ac:dyDescent="0.25">
      <c r="B16" s="2">
        <v>10</v>
      </c>
      <c r="C16" s="4" t="s">
        <v>48</v>
      </c>
      <c r="D16" s="9">
        <v>59285</v>
      </c>
      <c r="E16" s="4" t="s">
        <v>49</v>
      </c>
      <c r="F16" s="4" t="s">
        <v>25</v>
      </c>
      <c r="G16" s="4" t="s">
        <v>43</v>
      </c>
      <c r="H16" s="5">
        <v>99.95</v>
      </c>
      <c r="I16" s="6">
        <v>2</v>
      </c>
      <c r="J16" s="6">
        <v>2</v>
      </c>
      <c r="K16" s="6" t="s">
        <v>19</v>
      </c>
      <c r="L16" s="6" t="s">
        <v>19</v>
      </c>
      <c r="M16" s="6" t="s">
        <v>25</v>
      </c>
      <c r="N16" s="6" t="s">
        <v>25</v>
      </c>
      <c r="O16" s="9">
        <f t="shared" si="10"/>
        <v>59285</v>
      </c>
      <c r="P16" s="9" t="s">
        <v>50</v>
      </c>
      <c r="Q16" s="6">
        <f>IFERROR(INDEX(Item_Code_allocation_table!$C$4:$I$15,MATCH(Main!$O16,Item_Code_allocation_table!$B$4:$B$15,0),MATCH(Main!Q$6,Item_Code_allocation_table!$C$3:$I$3,0)), INDEX(DPS_Code_allocation_table!$C$4:$I$15,MATCH(Main!$P16,DPS_Code_allocation_table!$B$4:$B$15,0),MATCH(Main!Q$6,DPS_Code_allocation_table!$C$3:$I$3,0)))</f>
        <v>3</v>
      </c>
      <c r="R16" s="6">
        <f>IFERROR(INDEX(Item_Code_allocation_table!$C$4:$I$15,MATCH(Main!$O16,Item_Code_allocation_table!$B$4:$B$15,0),MATCH(Main!R$6,Item_Code_allocation_table!$C$3:$I$3,0)), INDEX(DPS_Code_allocation_table!$C$4:$I$15,MATCH(Main!$P16,DPS_Code_allocation_table!$B$4:$B$15,0),MATCH(Main!R$6,DPS_Code_allocation_table!$C$3:$I$3,0)))</f>
        <v>2</v>
      </c>
      <c r="S16" s="6">
        <f>IFERROR(INDEX(Item_Code_allocation_table!$C$4:$I$15,MATCH(Main!$O16,Item_Code_allocation_table!$B$4:$B$15,0),MATCH(Main!S$6,Item_Code_allocation_table!$C$3:$I$3,0)), INDEX(DPS_Code_allocation_table!$C$4:$I$15,MATCH(Main!$P16,DPS_Code_allocation_table!$B$4:$B$15,0),MATCH(Main!S$6,DPS_Code_allocation_table!$C$3:$I$3,0)))</f>
        <v>2</v>
      </c>
      <c r="T16" s="6">
        <f>IFERROR(INDEX(Item_Code_allocation_table!$C$4:$I$15,MATCH(Main!$O16,Item_Code_allocation_table!$B$4:$B$15,0),MATCH(Main!T$6,Item_Code_allocation_table!$C$3:$I$3,0)), INDEX(DPS_Code_allocation_table!$C$4:$I$15,MATCH(Main!$P16,DPS_Code_allocation_table!$B$4:$B$15,0),MATCH(Main!T$6,DPS_Code_allocation_table!$C$3:$I$3,0)))</f>
        <v>2</v>
      </c>
      <c r="U16" s="6">
        <f>IFERROR(INDEX(Item_Code_allocation_table!$C$4:$I$15,MATCH(Main!$O16,Item_Code_allocation_table!$B$4:$B$15,0),MATCH(Main!U$6,Item_Code_allocation_table!$C$3:$I$3,0)), INDEX(DPS_Code_allocation_table!$C$4:$I$15,MATCH(Main!$P16,DPS_Code_allocation_table!$B$4:$B$15,0),MATCH(Main!U$6,DPS_Code_allocation_table!$C$3:$I$3,0)))</f>
        <v>2</v>
      </c>
      <c r="V16" s="6">
        <f>IFERROR(INDEX(Item_Code_allocation_table!$C$4:$I$15,MATCH(Main!$O16,Item_Code_allocation_table!$B$4:$B$15,0),MATCH(Main!V$6,Item_Code_allocation_table!$C$3:$I$3,0)), INDEX(DPS_Code_allocation_table!$C$4:$I$15,MATCH(Main!$P16,DPS_Code_allocation_table!$B$4:$B$15,0),MATCH(Main!V$6,DPS_Code_allocation_table!$C$3:$I$3,0)))</f>
        <v>1</v>
      </c>
      <c r="W16" s="6">
        <f>IFERROR(INDEX(Item_Code_allocation_table!$C$4:$I$15,MATCH(Main!$O16,Item_Code_allocation_table!$B$4:$B$15,0),MATCH(Main!W$6,Item_Code_allocation_table!$C$3:$I$3,0)), INDEX(DPS_Code_allocation_table!$C$4:$I$15,MATCH(Main!$P16,DPS_Code_allocation_table!$B$4:$B$15,0),MATCH(Main!W$6,DPS_Code_allocation_table!$C$3:$I$3,0)))</f>
        <v>1</v>
      </c>
      <c r="Y16" s="74" t="str">
        <f>VLOOKUP(C16,DCS_Pattern!B:C,2,FALSE)</f>
        <v>Pattern 10</v>
      </c>
      <c r="Z16" s="54" t="str" cm="1">
        <f t="array" ref="Z16">_xlfn.XLOOKUP(1,(Store_Group!$B$4:$B$1532=$Y16)*(Store_Group!$C$4:$C$1532=Z$6),Store_Group!$D$4:$D$1532,"")</f>
        <v>C</v>
      </c>
      <c r="AA16" s="54" t="str" cm="1">
        <f t="array" ref="AA16">_xlfn.XLOOKUP(1,(Store_Group!$B$4:$B$1532=$Y16)*(Store_Group!$C$4:$C$1532=AA$6),Store_Group!$D$4:$D$1532,"")</f>
        <v>B</v>
      </c>
      <c r="AB16" s="54" t="str" cm="1">
        <f t="array" ref="AB16">_xlfn.XLOOKUP(1,(Store_Group!$B$4:$B$1532=$Y16)*(Store_Group!$C$4:$C$1532=AB$6),Store_Group!$D$4:$D$1532,"")</f>
        <v>B</v>
      </c>
      <c r="AC16" s="54" t="str" cm="1">
        <f t="array" ref="AC16">_xlfn.XLOOKUP(1,(Store_Group!$B$4:$B$1532=$Y16)*(Store_Group!$C$4:$C$1532=AC$6),Store_Group!$D$4:$D$1532,"")</f>
        <v>C</v>
      </c>
      <c r="AD16" s="54" t="str" cm="1">
        <f t="array" ref="AD16">_xlfn.XLOOKUP(1,(Store_Group!$B$4:$B$1532=$Y16)*(Store_Group!$C$4:$C$1532=AD$6),Store_Group!$D$4:$D$1532,"")</f>
        <v>A3</v>
      </c>
      <c r="AE16" s="54" t="str" cm="1">
        <f t="array" ref="AE16">_xlfn.XLOOKUP(1,(Store_Group!$B$4:$B$1532=$Y16)*(Store_Group!$C$4:$C$1532=AE$6),Store_Group!$D$4:$D$1532,"")</f>
        <v>B</v>
      </c>
      <c r="AF16" s="54" t="str" cm="1">
        <f t="array" ref="AF16">_xlfn.XLOOKUP(1,(Store_Group!$B$4:$B$1532=$Y16)*(Store_Group!$C$4:$C$1532=AF$6),Store_Group!$D$4:$D$1532,"")</f>
        <v>D</v>
      </c>
      <c r="AG16" s="54" t="str" cm="1">
        <f t="array" ref="AG16">_xlfn.XLOOKUP(1,(Store_Group!$B$4:$B$1532=$Y16)*(Store_Group!$C$4:$C$1532=AG$6),Store_Group!$D$4:$D$1532,"")</f>
        <v>C</v>
      </c>
      <c r="AI16" s="54">
        <f t="shared" si="11"/>
        <v>2</v>
      </c>
      <c r="AJ16" s="54">
        <f t="shared" si="0"/>
        <v>2</v>
      </c>
      <c r="AK16" s="54">
        <f t="shared" si="0"/>
        <v>2</v>
      </c>
      <c r="AL16" s="54">
        <f t="shared" si="0"/>
        <v>2</v>
      </c>
      <c r="AM16" s="54">
        <f t="shared" si="0"/>
        <v>2</v>
      </c>
      <c r="AN16" s="54">
        <f t="shared" si="0"/>
        <v>2</v>
      </c>
      <c r="AO16" s="54">
        <f t="shared" si="0"/>
        <v>1</v>
      </c>
      <c r="AP16" s="54">
        <f t="shared" si="0"/>
        <v>2</v>
      </c>
      <c r="AR16" s="54" t="s">
        <v>19</v>
      </c>
      <c r="AS16" s="54" t="s">
        <v>19</v>
      </c>
      <c r="AT16" s="54" t="s">
        <v>19</v>
      </c>
      <c r="AU16" s="54" t="s">
        <v>19</v>
      </c>
      <c r="AV16" s="54" t="s">
        <v>19</v>
      </c>
      <c r="AW16" s="54" t="s">
        <v>19</v>
      </c>
      <c r="AX16" s="54" t="s">
        <v>19</v>
      </c>
      <c r="AY16" s="54" t="s">
        <v>19</v>
      </c>
      <c r="BA16" s="54">
        <v>2</v>
      </c>
      <c r="BB16" s="54">
        <v>2</v>
      </c>
      <c r="BC16" s="54">
        <v>2</v>
      </c>
      <c r="BD16" s="54">
        <v>2</v>
      </c>
      <c r="BE16" s="54">
        <v>2</v>
      </c>
      <c r="BF16" s="54">
        <v>2</v>
      </c>
      <c r="BG16" s="54">
        <v>1</v>
      </c>
      <c r="BH16" s="54">
        <v>2</v>
      </c>
      <c r="BJ16" s="54">
        <v>4</v>
      </c>
      <c r="BK16" s="54">
        <v>1</v>
      </c>
      <c r="BL16" s="54">
        <v>3</v>
      </c>
      <c r="BM16" s="54">
        <v>4</v>
      </c>
      <c r="BN16" s="54">
        <v>0</v>
      </c>
      <c r="BO16" s="54">
        <v>4</v>
      </c>
      <c r="BP16" s="54">
        <v>1</v>
      </c>
      <c r="BQ16" s="54">
        <v>3</v>
      </c>
      <c r="BS16" s="75">
        <v>2</v>
      </c>
      <c r="BT16" s="54">
        <f t="shared" si="1"/>
        <v>0</v>
      </c>
      <c r="BU16" s="54">
        <f t="shared" si="2"/>
        <v>2</v>
      </c>
      <c r="BV16" s="54">
        <f t="shared" si="3"/>
        <v>0</v>
      </c>
      <c r="BW16" s="54">
        <f t="shared" si="4"/>
        <v>0</v>
      </c>
      <c r="BX16" s="54">
        <f t="shared" si="5"/>
        <v>2</v>
      </c>
      <c r="BY16" s="54">
        <f t="shared" si="6"/>
        <v>0</v>
      </c>
      <c r="BZ16" s="54">
        <f t="shared" si="7"/>
        <v>0</v>
      </c>
      <c r="CA16" s="54">
        <f t="shared" si="8"/>
        <v>0</v>
      </c>
      <c r="CB16" s="6">
        <v>102</v>
      </c>
      <c r="CC16" s="6">
        <f t="shared" si="9"/>
        <v>4</v>
      </c>
      <c r="CD16" s="6">
        <f t="shared" si="12"/>
        <v>98</v>
      </c>
    </row>
    <row r="17" spans="2:82" x14ac:dyDescent="0.25">
      <c r="B17" s="2">
        <v>11</v>
      </c>
      <c r="C17" s="4" t="s">
        <v>51</v>
      </c>
      <c r="D17" s="9">
        <v>7722</v>
      </c>
      <c r="E17" s="4" t="s">
        <v>52</v>
      </c>
      <c r="F17" s="4" t="s">
        <v>25</v>
      </c>
      <c r="G17" s="4" t="s">
        <v>53</v>
      </c>
      <c r="H17" s="5">
        <v>12.95</v>
      </c>
      <c r="I17" s="6">
        <v>12</v>
      </c>
      <c r="J17" s="6">
        <v>8</v>
      </c>
      <c r="K17" s="6" t="s">
        <v>19</v>
      </c>
      <c r="L17" s="6" t="s">
        <v>19</v>
      </c>
      <c r="M17" s="6" t="s">
        <v>25</v>
      </c>
      <c r="N17" s="6" t="s">
        <v>25</v>
      </c>
      <c r="O17" s="9">
        <f t="shared" si="10"/>
        <v>7722</v>
      </c>
      <c r="P17" s="9" t="s">
        <v>54</v>
      </c>
      <c r="Q17" s="6">
        <f>IFERROR(INDEX(Item_Code_allocation_table!$C$4:$I$15,MATCH(Main!$O17,Item_Code_allocation_table!$B$4:$B$15,0),MATCH(Main!Q$6,Item_Code_allocation_table!$C$3:$I$3,0)), INDEX(DPS_Code_allocation_table!$C$4:$I$15,MATCH(Main!$P17,DPS_Code_allocation_table!$B$4:$B$15,0),MATCH(Main!Q$6,DPS_Code_allocation_table!$C$3:$I$3,0)))</f>
        <v>18</v>
      </c>
      <c r="R17" s="6">
        <f>IFERROR(INDEX(Item_Code_allocation_table!$C$4:$I$15,MATCH(Main!$O17,Item_Code_allocation_table!$B$4:$B$15,0),MATCH(Main!R$6,Item_Code_allocation_table!$C$3:$I$3,0)), INDEX(DPS_Code_allocation_table!$C$4:$I$15,MATCH(Main!$P17,DPS_Code_allocation_table!$B$4:$B$15,0),MATCH(Main!R$6,DPS_Code_allocation_table!$C$3:$I$3,0)))</f>
        <v>12</v>
      </c>
      <c r="S17" s="6">
        <f>IFERROR(INDEX(Item_Code_allocation_table!$C$4:$I$15,MATCH(Main!$O17,Item_Code_allocation_table!$B$4:$B$15,0),MATCH(Main!S$6,Item_Code_allocation_table!$C$3:$I$3,0)), INDEX(DPS_Code_allocation_table!$C$4:$I$15,MATCH(Main!$P17,DPS_Code_allocation_table!$B$4:$B$15,0),MATCH(Main!S$6,DPS_Code_allocation_table!$C$3:$I$3,0)))</f>
        <v>10</v>
      </c>
      <c r="T17" s="6">
        <f>IFERROR(INDEX(Item_Code_allocation_table!$C$4:$I$15,MATCH(Main!$O17,Item_Code_allocation_table!$B$4:$B$15,0),MATCH(Main!T$6,Item_Code_allocation_table!$C$3:$I$3,0)), INDEX(DPS_Code_allocation_table!$C$4:$I$15,MATCH(Main!$P17,DPS_Code_allocation_table!$B$4:$B$15,0),MATCH(Main!T$6,DPS_Code_allocation_table!$C$3:$I$3,0)))</f>
        <v>8</v>
      </c>
      <c r="U17" s="6">
        <f>IFERROR(INDEX(Item_Code_allocation_table!$C$4:$I$15,MATCH(Main!$O17,Item_Code_allocation_table!$B$4:$B$15,0),MATCH(Main!U$6,Item_Code_allocation_table!$C$3:$I$3,0)), INDEX(DPS_Code_allocation_table!$C$4:$I$15,MATCH(Main!$P17,DPS_Code_allocation_table!$B$4:$B$15,0),MATCH(Main!U$6,DPS_Code_allocation_table!$C$3:$I$3,0)))</f>
        <v>6</v>
      </c>
      <c r="V17" s="6">
        <f>IFERROR(INDEX(Item_Code_allocation_table!$C$4:$I$15,MATCH(Main!$O17,Item_Code_allocation_table!$B$4:$B$15,0),MATCH(Main!V$6,Item_Code_allocation_table!$C$3:$I$3,0)), INDEX(DPS_Code_allocation_table!$C$4:$I$15,MATCH(Main!$P17,DPS_Code_allocation_table!$B$4:$B$15,0),MATCH(Main!V$6,DPS_Code_allocation_table!$C$3:$I$3,0)))</f>
        <v>5</v>
      </c>
      <c r="W17" s="6">
        <f>IFERROR(INDEX(Item_Code_allocation_table!$C$4:$I$15,MATCH(Main!$O17,Item_Code_allocation_table!$B$4:$B$15,0),MATCH(Main!W$6,Item_Code_allocation_table!$C$3:$I$3,0)), INDEX(DPS_Code_allocation_table!$C$4:$I$15,MATCH(Main!$P17,DPS_Code_allocation_table!$B$4:$B$15,0),MATCH(Main!W$6,DPS_Code_allocation_table!$C$3:$I$3,0)))</f>
        <v>4</v>
      </c>
      <c r="Y17" s="74" t="str">
        <f>VLOOKUP(C17,DCS_Pattern!B:C,2,FALSE)</f>
        <v>Pattern 10</v>
      </c>
      <c r="Z17" s="54" t="str" cm="1">
        <f t="array" ref="Z17">_xlfn.XLOOKUP(1,(Store_Group!$B$4:$B$1532=$Y17)*(Store_Group!$C$4:$C$1532=Z$6),Store_Group!$D$4:$D$1532,"")</f>
        <v>C</v>
      </c>
      <c r="AA17" s="54" t="str" cm="1">
        <f t="array" ref="AA17">_xlfn.XLOOKUP(1,(Store_Group!$B$4:$B$1532=$Y17)*(Store_Group!$C$4:$C$1532=AA$6),Store_Group!$D$4:$D$1532,"")</f>
        <v>B</v>
      </c>
      <c r="AB17" s="54" t="str" cm="1">
        <f t="array" ref="AB17">_xlfn.XLOOKUP(1,(Store_Group!$B$4:$B$1532=$Y17)*(Store_Group!$C$4:$C$1532=AB$6),Store_Group!$D$4:$D$1532,"")</f>
        <v>B</v>
      </c>
      <c r="AC17" s="54" t="str" cm="1">
        <f t="array" ref="AC17">_xlfn.XLOOKUP(1,(Store_Group!$B$4:$B$1532=$Y17)*(Store_Group!$C$4:$C$1532=AC$6),Store_Group!$D$4:$D$1532,"")</f>
        <v>C</v>
      </c>
      <c r="AD17" s="54" t="str" cm="1">
        <f t="array" ref="AD17">_xlfn.XLOOKUP(1,(Store_Group!$B$4:$B$1532=$Y17)*(Store_Group!$C$4:$C$1532=AD$6),Store_Group!$D$4:$D$1532,"")</f>
        <v>A3</v>
      </c>
      <c r="AE17" s="54" t="str" cm="1">
        <f t="array" ref="AE17">_xlfn.XLOOKUP(1,(Store_Group!$B$4:$B$1532=$Y17)*(Store_Group!$C$4:$C$1532=AE$6),Store_Group!$D$4:$D$1532,"")</f>
        <v>B</v>
      </c>
      <c r="AF17" s="54" t="str" cm="1">
        <f t="array" ref="AF17">_xlfn.XLOOKUP(1,(Store_Group!$B$4:$B$1532=$Y17)*(Store_Group!$C$4:$C$1532=AF$6),Store_Group!$D$4:$D$1532,"")</f>
        <v>D</v>
      </c>
      <c r="AG17" s="54" t="str" cm="1">
        <f t="array" ref="AG17">_xlfn.XLOOKUP(1,(Store_Group!$B$4:$B$1532=$Y17)*(Store_Group!$C$4:$C$1532=AG$6),Store_Group!$D$4:$D$1532,"")</f>
        <v>C</v>
      </c>
      <c r="AI17" s="54">
        <f t="shared" si="11"/>
        <v>6</v>
      </c>
      <c r="AJ17" s="54">
        <f t="shared" si="0"/>
        <v>8</v>
      </c>
      <c r="AK17" s="54">
        <f t="shared" si="0"/>
        <v>8</v>
      </c>
      <c r="AL17" s="54">
        <f t="shared" si="0"/>
        <v>6</v>
      </c>
      <c r="AM17" s="54">
        <f t="shared" si="0"/>
        <v>10</v>
      </c>
      <c r="AN17" s="54">
        <f t="shared" si="0"/>
        <v>8</v>
      </c>
      <c r="AO17" s="54">
        <f t="shared" si="0"/>
        <v>5</v>
      </c>
      <c r="AP17" s="54">
        <f t="shared" si="0"/>
        <v>6</v>
      </c>
      <c r="AR17" s="55" t="s">
        <v>24</v>
      </c>
      <c r="AS17" s="54" t="s">
        <v>19</v>
      </c>
      <c r="AT17" s="54" t="s">
        <v>19</v>
      </c>
      <c r="AU17" s="54" t="s">
        <v>19</v>
      </c>
      <c r="AV17" s="54" t="s">
        <v>19</v>
      </c>
      <c r="AW17" s="54" t="s">
        <v>19</v>
      </c>
      <c r="AX17" s="54" t="s">
        <v>19</v>
      </c>
      <c r="AY17" s="54" t="s">
        <v>19</v>
      </c>
      <c r="BA17" s="55">
        <v>0</v>
      </c>
      <c r="BB17" s="54">
        <v>8</v>
      </c>
      <c r="BC17" s="54">
        <v>8</v>
      </c>
      <c r="BD17" s="54">
        <v>6</v>
      </c>
      <c r="BE17" s="54">
        <v>10</v>
      </c>
      <c r="BF17" s="54">
        <v>8</v>
      </c>
      <c r="BG17" s="54">
        <v>5</v>
      </c>
      <c r="BH17" s="54">
        <v>6</v>
      </c>
      <c r="BJ17" s="54">
        <v>1</v>
      </c>
      <c r="BK17" s="54">
        <v>2</v>
      </c>
      <c r="BL17" s="54">
        <v>4</v>
      </c>
      <c r="BM17" s="54">
        <v>3</v>
      </c>
      <c r="BN17" s="54">
        <v>3</v>
      </c>
      <c r="BO17" s="54">
        <v>2</v>
      </c>
      <c r="BP17" s="54">
        <v>4</v>
      </c>
      <c r="BQ17" s="54">
        <v>3</v>
      </c>
      <c r="BS17" s="75">
        <v>12</v>
      </c>
      <c r="BT17" s="54">
        <f t="shared" si="1"/>
        <v>0</v>
      </c>
      <c r="BU17" s="54">
        <f t="shared" si="2"/>
        <v>12</v>
      </c>
      <c r="BV17" s="54">
        <f t="shared" si="3"/>
        <v>0</v>
      </c>
      <c r="BW17" s="54">
        <f t="shared" si="4"/>
        <v>0</v>
      </c>
      <c r="BX17" s="54">
        <f t="shared" si="5"/>
        <v>12</v>
      </c>
      <c r="BY17" s="54">
        <f t="shared" si="6"/>
        <v>12</v>
      </c>
      <c r="BZ17" s="54">
        <f t="shared" si="7"/>
        <v>0</v>
      </c>
      <c r="CA17" s="54">
        <f t="shared" si="8"/>
        <v>0</v>
      </c>
      <c r="CB17" s="6">
        <v>960</v>
      </c>
      <c r="CC17" s="6">
        <f t="shared" si="9"/>
        <v>36</v>
      </c>
      <c r="CD17" s="6">
        <f t="shared" si="12"/>
        <v>924</v>
      </c>
    </row>
    <row r="18" spans="2:82" x14ac:dyDescent="0.25">
      <c r="B18" s="2">
        <v>12</v>
      </c>
      <c r="C18" s="4" t="s">
        <v>55</v>
      </c>
      <c r="D18" s="9">
        <v>9646</v>
      </c>
      <c r="E18" s="4" t="s">
        <v>56</v>
      </c>
      <c r="F18" s="4" t="s">
        <v>25</v>
      </c>
      <c r="G18" s="4" t="s">
        <v>53</v>
      </c>
      <c r="H18" s="5">
        <v>5.95</v>
      </c>
      <c r="I18" s="6">
        <v>12</v>
      </c>
      <c r="J18" s="6">
        <v>30</v>
      </c>
      <c r="K18" s="6" t="s">
        <v>19</v>
      </c>
      <c r="L18" s="6" t="s">
        <v>24</v>
      </c>
      <c r="M18" s="6" t="s">
        <v>25</v>
      </c>
      <c r="N18" s="6" t="s">
        <v>25</v>
      </c>
      <c r="O18" s="9">
        <f>D18</f>
        <v>9646</v>
      </c>
      <c r="P18" s="9" t="s">
        <v>57</v>
      </c>
      <c r="Q18" s="6">
        <f>IFERROR(INDEX(Item_Code_allocation_table!$C$4:$I$15,MATCH(Main!$O18,Item_Code_allocation_table!$B$4:$B$15,0),MATCH(Main!Q$6,Item_Code_allocation_table!$C$3:$I$3,0)), INDEX(DPS_Code_allocation_table!$C$4:$I$15,MATCH(Main!$P18,DPS_Code_allocation_table!$B$4:$B$15,0),MATCH(Main!Q$6,DPS_Code_allocation_table!$C$3:$I$3,0)))</f>
        <v>20</v>
      </c>
      <c r="R18" s="6">
        <f>IFERROR(INDEX(Item_Code_allocation_table!$C$4:$I$15,MATCH(Main!$O18,Item_Code_allocation_table!$B$4:$B$15,0),MATCH(Main!R$6,Item_Code_allocation_table!$C$3:$I$3,0)), INDEX(DPS_Code_allocation_table!$C$4:$I$15,MATCH(Main!$P18,DPS_Code_allocation_table!$B$4:$B$15,0),MATCH(Main!R$6,DPS_Code_allocation_table!$C$3:$I$3,0)))</f>
        <v>16</v>
      </c>
      <c r="S18" s="6">
        <f>IFERROR(INDEX(Item_Code_allocation_table!$C$4:$I$15,MATCH(Main!$O18,Item_Code_allocation_table!$B$4:$B$15,0),MATCH(Main!S$6,Item_Code_allocation_table!$C$3:$I$3,0)), INDEX(DPS_Code_allocation_table!$C$4:$I$15,MATCH(Main!$P18,DPS_Code_allocation_table!$B$4:$B$15,0),MATCH(Main!S$6,DPS_Code_allocation_table!$C$3:$I$3,0)))</f>
        <v>12</v>
      </c>
      <c r="T18" s="6">
        <f>IFERROR(INDEX(Item_Code_allocation_table!$C$4:$I$15,MATCH(Main!$O18,Item_Code_allocation_table!$B$4:$B$15,0),MATCH(Main!T$6,Item_Code_allocation_table!$C$3:$I$3,0)), INDEX(DPS_Code_allocation_table!$C$4:$I$15,MATCH(Main!$P18,DPS_Code_allocation_table!$B$4:$B$15,0),MATCH(Main!T$6,DPS_Code_allocation_table!$C$3:$I$3,0)))</f>
        <v>10</v>
      </c>
      <c r="U18" s="6">
        <f>IFERROR(INDEX(Item_Code_allocation_table!$C$4:$I$15,MATCH(Main!$O18,Item_Code_allocation_table!$B$4:$B$15,0),MATCH(Main!U$6,Item_Code_allocation_table!$C$3:$I$3,0)), INDEX(DPS_Code_allocation_table!$C$4:$I$15,MATCH(Main!$P18,DPS_Code_allocation_table!$B$4:$B$15,0),MATCH(Main!U$6,DPS_Code_allocation_table!$C$3:$I$3,0)))</f>
        <v>10</v>
      </c>
      <c r="V18" s="6">
        <f>IFERROR(INDEX(Item_Code_allocation_table!$C$4:$I$15,MATCH(Main!$O18,Item_Code_allocation_table!$B$4:$B$15,0),MATCH(Main!V$6,Item_Code_allocation_table!$C$3:$I$3,0)), INDEX(DPS_Code_allocation_table!$C$4:$I$15,MATCH(Main!$P18,DPS_Code_allocation_table!$B$4:$B$15,0),MATCH(Main!V$6,DPS_Code_allocation_table!$C$3:$I$3,0)))</f>
        <v>8</v>
      </c>
      <c r="W18" s="6">
        <f>IFERROR(INDEX(Item_Code_allocation_table!$C$4:$I$15,MATCH(Main!$O18,Item_Code_allocation_table!$B$4:$B$15,0),MATCH(Main!W$6,Item_Code_allocation_table!$C$3:$I$3,0)), INDEX(DPS_Code_allocation_table!$C$4:$I$15,MATCH(Main!$P18,DPS_Code_allocation_table!$B$4:$B$15,0),MATCH(Main!W$6,DPS_Code_allocation_table!$C$3:$I$3,0)))</f>
        <v>6</v>
      </c>
      <c r="Y18" s="74" t="str">
        <f>VLOOKUP(C18,DCS_Pattern!B:C,2,FALSE)</f>
        <v>Pattern 11</v>
      </c>
      <c r="Z18" s="54" t="str" cm="1">
        <f t="array" ref="Z18">_xlfn.XLOOKUP(1,(Store_Group!$B$4:$B$1532=$Y18)*(Store_Group!$C$4:$C$1532=Z$6),Store_Group!$D$4:$D$1532,"")</f>
        <v>C</v>
      </c>
      <c r="AA18" s="54" t="str" cm="1">
        <f t="array" ref="AA18">_xlfn.XLOOKUP(1,(Store_Group!$B$4:$B$1532=$Y18)*(Store_Group!$C$4:$C$1532=AA$6),Store_Group!$D$4:$D$1532,"")</f>
        <v>A3</v>
      </c>
      <c r="AB18" s="54" t="str" cm="1">
        <f t="array" ref="AB18">_xlfn.XLOOKUP(1,(Store_Group!$B$4:$B$1532=$Y18)*(Store_Group!$C$4:$C$1532=AB$6),Store_Group!$D$4:$D$1532,"")</f>
        <v>B</v>
      </c>
      <c r="AC18" s="54" t="str" cm="1">
        <f t="array" ref="AC18">_xlfn.XLOOKUP(1,(Store_Group!$B$4:$B$1532=$Y18)*(Store_Group!$C$4:$C$1532=AC$6),Store_Group!$D$4:$D$1532,"")</f>
        <v>C</v>
      </c>
      <c r="AD18" s="54" t="str" cm="1">
        <f t="array" ref="AD18">_xlfn.XLOOKUP(1,(Store_Group!$B$4:$B$1532=$Y18)*(Store_Group!$C$4:$C$1532=AD$6),Store_Group!$D$4:$D$1532,"")</f>
        <v>A3</v>
      </c>
      <c r="AE18" s="54" t="str" cm="1">
        <f t="array" ref="AE18">_xlfn.XLOOKUP(1,(Store_Group!$B$4:$B$1532=$Y18)*(Store_Group!$C$4:$C$1532=AE$6),Store_Group!$D$4:$D$1532,"")</f>
        <v>B</v>
      </c>
      <c r="AF18" s="54" t="str" cm="1">
        <f t="array" ref="AF18">_xlfn.XLOOKUP(1,(Store_Group!$B$4:$B$1532=$Y18)*(Store_Group!$C$4:$C$1532=AF$6),Store_Group!$D$4:$D$1532,"")</f>
        <v>C</v>
      </c>
      <c r="AG18" s="54" t="str" cm="1">
        <f t="array" ref="AG18">_xlfn.XLOOKUP(1,(Store_Group!$B$4:$B$1532=$Y18)*(Store_Group!$C$4:$C$1532=AG$6),Store_Group!$D$4:$D$1532,"")</f>
        <v>B</v>
      </c>
      <c r="AI18" s="54">
        <f t="shared" si="11"/>
        <v>10</v>
      </c>
      <c r="AJ18" s="54">
        <f t="shared" si="0"/>
        <v>12</v>
      </c>
      <c r="AK18" s="54">
        <f t="shared" si="0"/>
        <v>10</v>
      </c>
      <c r="AL18" s="54">
        <f t="shared" si="0"/>
        <v>10</v>
      </c>
      <c r="AM18" s="54">
        <f t="shared" si="0"/>
        <v>12</v>
      </c>
      <c r="AN18" s="54">
        <f t="shared" si="0"/>
        <v>10</v>
      </c>
      <c r="AO18" s="54">
        <f t="shared" si="0"/>
        <v>10</v>
      </c>
      <c r="AP18" s="54">
        <f t="shared" si="0"/>
        <v>10</v>
      </c>
      <c r="AR18" s="54" t="s">
        <v>19</v>
      </c>
      <c r="AS18" s="54" t="s">
        <v>19</v>
      </c>
      <c r="AT18" s="54" t="s">
        <v>19</v>
      </c>
      <c r="AU18" s="54" t="s">
        <v>19</v>
      </c>
      <c r="AV18" s="54" t="s">
        <v>19</v>
      </c>
      <c r="AW18" s="54" t="s">
        <v>19</v>
      </c>
      <c r="AX18" s="54" t="s">
        <v>19</v>
      </c>
      <c r="AY18" s="54" t="s">
        <v>19</v>
      </c>
      <c r="BA18" s="54">
        <v>10</v>
      </c>
      <c r="BB18" s="54">
        <v>12</v>
      </c>
      <c r="BC18" s="54">
        <v>10</v>
      </c>
      <c r="BD18" s="54">
        <v>10</v>
      </c>
      <c r="BE18" s="54">
        <v>12</v>
      </c>
      <c r="BF18" s="54">
        <v>10</v>
      </c>
      <c r="BG18" s="54">
        <v>10</v>
      </c>
      <c r="BH18" s="54">
        <v>10</v>
      </c>
      <c r="BJ18" s="54">
        <v>0</v>
      </c>
      <c r="BK18" s="54">
        <v>2</v>
      </c>
      <c r="BL18" s="54">
        <v>3</v>
      </c>
      <c r="BM18" s="54">
        <v>4</v>
      </c>
      <c r="BN18" s="54">
        <v>0</v>
      </c>
      <c r="BO18" s="54">
        <v>0</v>
      </c>
      <c r="BP18" s="54">
        <v>1</v>
      </c>
      <c r="BQ18" s="54">
        <v>3</v>
      </c>
      <c r="BS18" s="75">
        <v>12</v>
      </c>
      <c r="BT18" s="54">
        <f t="shared" si="1"/>
        <v>12</v>
      </c>
      <c r="BU18" s="54">
        <f t="shared" si="2"/>
        <v>12</v>
      </c>
      <c r="BV18" s="54">
        <f t="shared" si="3"/>
        <v>12</v>
      </c>
      <c r="BW18" s="54">
        <f t="shared" si="4"/>
        <v>12</v>
      </c>
      <c r="BX18" s="54">
        <f t="shared" si="5"/>
        <v>12</v>
      </c>
      <c r="BY18" s="54">
        <f t="shared" si="6"/>
        <v>12</v>
      </c>
      <c r="BZ18" s="54">
        <f t="shared" si="7"/>
        <v>12</v>
      </c>
      <c r="CA18" s="54">
        <f t="shared" si="8"/>
        <v>12</v>
      </c>
      <c r="CB18" s="6">
        <v>996</v>
      </c>
      <c r="CC18" s="6">
        <f t="shared" si="9"/>
        <v>96</v>
      </c>
      <c r="CD18" s="6">
        <f t="shared" si="12"/>
        <v>900</v>
      </c>
    </row>
    <row r="20" spans="2:82" x14ac:dyDescent="0.25">
      <c r="C20" s="23" t="s">
        <v>76</v>
      </c>
    </row>
    <row r="21" spans="2:82" x14ac:dyDescent="0.25">
      <c r="C21" s="22" t="s">
        <v>146</v>
      </c>
    </row>
    <row r="22" spans="2:82" x14ac:dyDescent="0.25">
      <c r="C22" s="22" t="s">
        <v>147</v>
      </c>
    </row>
    <row r="23" spans="2:82" x14ac:dyDescent="0.25">
      <c r="C23" t="s">
        <v>87</v>
      </c>
    </row>
    <row r="24" spans="2:82" x14ac:dyDescent="0.25">
      <c r="C24" t="s">
        <v>84</v>
      </c>
    </row>
    <row r="25" spans="2:82" x14ac:dyDescent="0.25">
      <c r="C25" s="22" t="s">
        <v>148</v>
      </c>
    </row>
    <row r="26" spans="2:82" x14ac:dyDescent="0.25">
      <c r="C26" s="22" t="s">
        <v>152</v>
      </c>
    </row>
    <row r="27" spans="2:82" x14ac:dyDescent="0.25">
      <c r="C27" s="22" t="s">
        <v>149</v>
      </c>
    </row>
    <row r="28" spans="2:82" x14ac:dyDescent="0.25">
      <c r="C28" s="22" t="s">
        <v>150</v>
      </c>
    </row>
    <row r="29" spans="2:82" x14ac:dyDescent="0.25">
      <c r="C29" s="22" t="s">
        <v>151</v>
      </c>
    </row>
    <row r="30" spans="2:82" x14ac:dyDescent="0.25">
      <c r="C30" t="s">
        <v>83</v>
      </c>
    </row>
    <row r="31" spans="2:82" x14ac:dyDescent="0.25">
      <c r="C31" t="s">
        <v>82</v>
      </c>
    </row>
    <row r="33" spans="3:3" x14ac:dyDescent="0.25">
      <c r="C33" t="s">
        <v>101</v>
      </c>
    </row>
  </sheetData>
  <conditionalFormatting sqref="CD7:CD18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0E2D5-9614-4ACE-8924-E74889774ADE}">
  <sheetPr>
    <tabColor rgb="FFFFC000"/>
  </sheetPr>
  <dimension ref="B3:I15"/>
  <sheetViews>
    <sheetView workbookViewId="0"/>
  </sheetViews>
  <sheetFormatPr defaultRowHeight="15" x14ac:dyDescent="0.25"/>
  <cols>
    <col min="1" max="1" width="1.7109375" customWidth="1"/>
    <col min="2" max="2" width="31.5703125" bestFit="1" customWidth="1"/>
  </cols>
  <sheetData>
    <row r="3" spans="2:9" x14ac:dyDescent="0.25">
      <c r="B3" s="28" t="s">
        <v>86</v>
      </c>
      <c r="C3" s="35" t="s">
        <v>67</v>
      </c>
      <c r="D3" s="29" t="s">
        <v>68</v>
      </c>
      <c r="E3" s="30" t="s">
        <v>69</v>
      </c>
      <c r="F3" s="31" t="s">
        <v>70</v>
      </c>
      <c r="G3" s="32" t="s">
        <v>71</v>
      </c>
      <c r="H3" s="33" t="s">
        <v>72</v>
      </c>
      <c r="I3" s="34" t="s">
        <v>73</v>
      </c>
    </row>
    <row r="4" spans="2:9" x14ac:dyDescent="0.25">
      <c r="B4" s="45">
        <v>96268</v>
      </c>
      <c r="C4" s="42">
        <v>16</v>
      </c>
      <c r="D4" s="36">
        <v>10</v>
      </c>
      <c r="E4" s="36">
        <v>8</v>
      </c>
      <c r="F4" s="36">
        <v>6</v>
      </c>
      <c r="G4" s="36">
        <v>5</v>
      </c>
      <c r="H4" s="36">
        <v>4</v>
      </c>
      <c r="I4" s="37">
        <v>3</v>
      </c>
    </row>
    <row r="5" spans="2:9" x14ac:dyDescent="0.25">
      <c r="B5" s="46">
        <v>97888</v>
      </c>
      <c r="C5" s="43">
        <v>14</v>
      </c>
      <c r="D5" s="38">
        <v>8</v>
      </c>
      <c r="E5" s="38">
        <v>7</v>
      </c>
      <c r="F5" s="38">
        <v>5</v>
      </c>
      <c r="G5" s="38">
        <v>4</v>
      </c>
      <c r="H5" s="38">
        <v>3</v>
      </c>
      <c r="I5" s="39">
        <v>3</v>
      </c>
    </row>
    <row r="6" spans="2:9" x14ac:dyDescent="0.25">
      <c r="B6" s="46">
        <v>91815</v>
      </c>
      <c r="C6" s="43">
        <v>12</v>
      </c>
      <c r="D6" s="38">
        <v>6</v>
      </c>
      <c r="E6" s="38">
        <v>5</v>
      </c>
      <c r="F6" s="38">
        <v>4</v>
      </c>
      <c r="G6" s="38">
        <v>4</v>
      </c>
      <c r="H6" s="38">
        <v>3</v>
      </c>
      <c r="I6" s="39">
        <v>2</v>
      </c>
    </row>
    <row r="7" spans="2:9" x14ac:dyDescent="0.25">
      <c r="B7" s="46">
        <v>91816</v>
      </c>
      <c r="C7" s="43">
        <v>12</v>
      </c>
      <c r="D7" s="38">
        <v>6</v>
      </c>
      <c r="E7" s="38">
        <v>5</v>
      </c>
      <c r="F7" s="38">
        <v>4</v>
      </c>
      <c r="G7" s="38">
        <v>4</v>
      </c>
      <c r="H7" s="38">
        <v>3</v>
      </c>
      <c r="I7" s="39">
        <v>2</v>
      </c>
    </row>
    <row r="8" spans="2:9" x14ac:dyDescent="0.25">
      <c r="B8" s="46">
        <v>91817</v>
      </c>
      <c r="C8" s="43">
        <v>10</v>
      </c>
      <c r="D8" s="38">
        <v>5</v>
      </c>
      <c r="E8" s="38">
        <v>4</v>
      </c>
      <c r="F8" s="38">
        <v>3</v>
      </c>
      <c r="G8" s="38">
        <v>2</v>
      </c>
      <c r="H8" s="38">
        <v>2</v>
      </c>
      <c r="I8" s="39">
        <v>1</v>
      </c>
    </row>
    <row r="9" spans="2:9" x14ac:dyDescent="0.25">
      <c r="B9" s="46">
        <v>91818</v>
      </c>
      <c r="C9" s="43">
        <v>6</v>
      </c>
      <c r="D9" s="38">
        <v>3</v>
      </c>
      <c r="E9" s="38">
        <v>2</v>
      </c>
      <c r="F9" s="38">
        <v>2</v>
      </c>
      <c r="G9" s="38">
        <v>1</v>
      </c>
      <c r="H9" s="38">
        <v>1</v>
      </c>
      <c r="I9" s="39">
        <v>1</v>
      </c>
    </row>
    <row r="10" spans="2:9" x14ac:dyDescent="0.25">
      <c r="B10" s="46">
        <v>91819</v>
      </c>
      <c r="C10" s="43">
        <v>4</v>
      </c>
      <c r="D10" s="38">
        <v>2</v>
      </c>
      <c r="E10" s="38">
        <v>2</v>
      </c>
      <c r="F10" s="38">
        <v>1</v>
      </c>
      <c r="G10" s="38">
        <v>1</v>
      </c>
      <c r="H10" s="38">
        <v>1</v>
      </c>
      <c r="I10" s="39">
        <v>1</v>
      </c>
    </row>
    <row r="11" spans="2:9" x14ac:dyDescent="0.25">
      <c r="B11" s="46">
        <v>90829</v>
      </c>
      <c r="C11" s="43">
        <v>80</v>
      </c>
      <c r="D11" s="38">
        <v>60</v>
      </c>
      <c r="E11" s="38">
        <v>50</v>
      </c>
      <c r="F11" s="38">
        <v>40</v>
      </c>
      <c r="G11" s="38">
        <v>30</v>
      </c>
      <c r="H11" s="38">
        <v>20</v>
      </c>
      <c r="I11" s="39">
        <v>10</v>
      </c>
    </row>
    <row r="12" spans="2:9" x14ac:dyDescent="0.25">
      <c r="B12" s="46">
        <v>3764</v>
      </c>
      <c r="C12" s="43">
        <v>24</v>
      </c>
      <c r="D12" s="38">
        <v>20</v>
      </c>
      <c r="E12" s="38">
        <v>20</v>
      </c>
      <c r="F12" s="38">
        <v>18</v>
      </c>
      <c r="G12" s="38">
        <v>16</v>
      </c>
      <c r="H12" s="38">
        <v>12</v>
      </c>
      <c r="I12" s="39">
        <v>12</v>
      </c>
    </row>
    <row r="13" spans="2:9" x14ac:dyDescent="0.25">
      <c r="B13" s="46">
        <v>59285</v>
      </c>
      <c r="C13" s="43">
        <v>3</v>
      </c>
      <c r="D13" s="38">
        <v>2</v>
      </c>
      <c r="E13" s="38">
        <v>2</v>
      </c>
      <c r="F13" s="38">
        <v>2</v>
      </c>
      <c r="G13" s="38">
        <v>2</v>
      </c>
      <c r="H13" s="38">
        <v>1</v>
      </c>
      <c r="I13" s="39">
        <v>1</v>
      </c>
    </row>
    <row r="14" spans="2:9" x14ac:dyDescent="0.25">
      <c r="B14" s="46">
        <v>7722</v>
      </c>
      <c r="C14" s="43">
        <v>18</v>
      </c>
      <c r="D14" s="38">
        <v>12</v>
      </c>
      <c r="E14" s="38">
        <v>10</v>
      </c>
      <c r="F14" s="38">
        <v>8</v>
      </c>
      <c r="G14" s="38">
        <v>6</v>
      </c>
      <c r="H14" s="38">
        <v>5</v>
      </c>
      <c r="I14" s="39">
        <v>4</v>
      </c>
    </row>
    <row r="15" spans="2:9" x14ac:dyDescent="0.25">
      <c r="B15" s="47">
        <v>9646</v>
      </c>
      <c r="C15" s="44">
        <v>20</v>
      </c>
      <c r="D15" s="40">
        <v>16</v>
      </c>
      <c r="E15" s="40">
        <v>12</v>
      </c>
      <c r="F15" s="40">
        <v>10</v>
      </c>
      <c r="G15" s="40">
        <v>10</v>
      </c>
      <c r="H15" s="40">
        <v>8</v>
      </c>
      <c r="I15" s="41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1F0E9-DEEF-4819-BB8D-08D4173DE638}">
  <sheetPr>
    <tabColor rgb="FFFFC000"/>
  </sheetPr>
  <dimension ref="B3:I15"/>
  <sheetViews>
    <sheetView workbookViewId="0"/>
  </sheetViews>
  <sheetFormatPr defaultRowHeight="15" x14ac:dyDescent="0.25"/>
  <cols>
    <col min="1" max="1" width="1.7109375" customWidth="1"/>
    <col min="2" max="2" width="31.5703125" bestFit="1" customWidth="1"/>
  </cols>
  <sheetData>
    <row r="3" spans="2:9" x14ac:dyDescent="0.25">
      <c r="B3" s="28" t="s">
        <v>89</v>
      </c>
      <c r="C3" s="35" t="s">
        <v>67</v>
      </c>
      <c r="D3" s="29" t="s">
        <v>68</v>
      </c>
      <c r="E3" s="30" t="s">
        <v>69</v>
      </c>
      <c r="F3" s="31" t="s">
        <v>70</v>
      </c>
      <c r="G3" s="32" t="s">
        <v>71</v>
      </c>
      <c r="H3" s="33" t="s">
        <v>72</v>
      </c>
      <c r="I3" s="34" t="s">
        <v>73</v>
      </c>
    </row>
    <row r="4" spans="2:9" x14ac:dyDescent="0.25">
      <c r="B4" s="45" t="s">
        <v>21</v>
      </c>
      <c r="C4" s="42">
        <v>15</v>
      </c>
      <c r="D4" s="36">
        <v>9</v>
      </c>
      <c r="E4" s="36">
        <v>7</v>
      </c>
      <c r="F4" s="36">
        <v>5</v>
      </c>
      <c r="G4" s="36">
        <v>4</v>
      </c>
      <c r="H4" s="36">
        <v>3</v>
      </c>
      <c r="I4" s="37">
        <v>2</v>
      </c>
    </row>
    <row r="5" spans="2:9" x14ac:dyDescent="0.25">
      <c r="B5" s="46" t="s">
        <v>27</v>
      </c>
      <c r="C5" s="43">
        <v>13</v>
      </c>
      <c r="D5" s="38">
        <v>7</v>
      </c>
      <c r="E5" s="38">
        <v>6</v>
      </c>
      <c r="F5" s="38">
        <v>4</v>
      </c>
      <c r="G5" s="38">
        <v>3</v>
      </c>
      <c r="H5" s="38">
        <v>2</v>
      </c>
      <c r="I5" s="39">
        <v>2</v>
      </c>
    </row>
    <row r="6" spans="2:9" x14ac:dyDescent="0.25">
      <c r="B6" s="46" t="s">
        <v>32</v>
      </c>
      <c r="C6" s="43">
        <v>11</v>
      </c>
      <c r="D6" s="38">
        <v>5</v>
      </c>
      <c r="E6" s="38">
        <v>4</v>
      </c>
      <c r="F6" s="38">
        <v>3</v>
      </c>
      <c r="G6" s="38">
        <v>3</v>
      </c>
      <c r="H6" s="38">
        <v>2</v>
      </c>
      <c r="I6" s="39">
        <v>1</v>
      </c>
    </row>
    <row r="7" spans="2:9" x14ac:dyDescent="0.25">
      <c r="B7" s="46" t="s">
        <v>34</v>
      </c>
      <c r="C7" s="43">
        <v>11</v>
      </c>
      <c r="D7" s="38">
        <v>5</v>
      </c>
      <c r="E7" s="38">
        <v>4</v>
      </c>
      <c r="F7" s="38">
        <v>3</v>
      </c>
      <c r="G7" s="38">
        <v>3</v>
      </c>
      <c r="H7" s="38">
        <v>2</v>
      </c>
      <c r="I7" s="39">
        <v>1</v>
      </c>
    </row>
    <row r="8" spans="2:9" x14ac:dyDescent="0.25">
      <c r="B8" s="46" t="s">
        <v>36</v>
      </c>
      <c r="C8" s="43">
        <v>9</v>
      </c>
      <c r="D8" s="38">
        <v>4</v>
      </c>
      <c r="E8" s="38">
        <v>3</v>
      </c>
      <c r="F8" s="38">
        <v>2</v>
      </c>
      <c r="G8" s="38">
        <v>1</v>
      </c>
      <c r="H8" s="38">
        <v>1</v>
      </c>
      <c r="I8" s="39">
        <v>1</v>
      </c>
    </row>
    <row r="9" spans="2:9" x14ac:dyDescent="0.25">
      <c r="B9" s="46" t="s">
        <v>38</v>
      </c>
      <c r="C9" s="43">
        <v>5</v>
      </c>
      <c r="D9" s="38">
        <v>2</v>
      </c>
      <c r="E9" s="38">
        <v>1</v>
      </c>
      <c r="F9" s="38">
        <v>1</v>
      </c>
      <c r="G9" s="38">
        <v>1</v>
      </c>
      <c r="H9" s="38">
        <v>1</v>
      </c>
      <c r="I9" s="39">
        <v>1</v>
      </c>
    </row>
    <row r="10" spans="2:9" x14ac:dyDescent="0.25">
      <c r="B10" s="46" t="s">
        <v>40</v>
      </c>
      <c r="C10" s="43">
        <v>3</v>
      </c>
      <c r="D10" s="38">
        <v>1</v>
      </c>
      <c r="E10" s="38">
        <v>1</v>
      </c>
      <c r="F10" s="38">
        <v>1</v>
      </c>
      <c r="G10" s="38">
        <v>1</v>
      </c>
      <c r="H10" s="38">
        <v>1</v>
      </c>
      <c r="I10" s="39">
        <v>1</v>
      </c>
    </row>
    <row r="11" spans="2:9" x14ac:dyDescent="0.25">
      <c r="B11" s="46" t="s">
        <v>44</v>
      </c>
      <c r="C11" s="43">
        <v>79</v>
      </c>
      <c r="D11" s="38">
        <v>59</v>
      </c>
      <c r="E11" s="38">
        <v>49</v>
      </c>
      <c r="F11" s="38">
        <v>39</v>
      </c>
      <c r="G11" s="38">
        <v>29</v>
      </c>
      <c r="H11" s="38">
        <v>19</v>
      </c>
      <c r="I11" s="39">
        <v>9</v>
      </c>
    </row>
    <row r="12" spans="2:9" x14ac:dyDescent="0.25">
      <c r="B12" s="46" t="s">
        <v>47</v>
      </c>
      <c r="C12" s="43">
        <v>23</v>
      </c>
      <c r="D12" s="38">
        <v>19</v>
      </c>
      <c r="E12" s="38">
        <v>19</v>
      </c>
      <c r="F12" s="38">
        <v>17</v>
      </c>
      <c r="G12" s="38">
        <v>15</v>
      </c>
      <c r="H12" s="38">
        <v>11</v>
      </c>
      <c r="I12" s="39">
        <v>11</v>
      </c>
    </row>
    <row r="13" spans="2:9" x14ac:dyDescent="0.25">
      <c r="B13" s="46" t="s">
        <v>50</v>
      </c>
      <c r="C13" s="43">
        <v>2</v>
      </c>
      <c r="D13" s="38">
        <v>1</v>
      </c>
      <c r="E13" s="38">
        <v>1</v>
      </c>
      <c r="F13" s="38">
        <v>1</v>
      </c>
      <c r="G13" s="38">
        <v>1</v>
      </c>
      <c r="H13" s="38">
        <v>1</v>
      </c>
      <c r="I13" s="39">
        <v>1</v>
      </c>
    </row>
    <row r="14" spans="2:9" x14ac:dyDescent="0.25">
      <c r="B14" s="46" t="s">
        <v>54</v>
      </c>
      <c r="C14" s="43">
        <v>17</v>
      </c>
      <c r="D14" s="38">
        <v>11</v>
      </c>
      <c r="E14" s="38">
        <v>9</v>
      </c>
      <c r="F14" s="38">
        <v>7</v>
      </c>
      <c r="G14" s="38">
        <v>5</v>
      </c>
      <c r="H14" s="38">
        <v>4</v>
      </c>
      <c r="I14" s="39">
        <v>3</v>
      </c>
    </row>
    <row r="15" spans="2:9" x14ac:dyDescent="0.25">
      <c r="B15" s="47" t="s">
        <v>57</v>
      </c>
      <c r="C15" s="44">
        <v>19</v>
      </c>
      <c r="D15" s="40">
        <v>15</v>
      </c>
      <c r="E15" s="40">
        <v>11</v>
      </c>
      <c r="F15" s="40">
        <v>9</v>
      </c>
      <c r="G15" s="40">
        <v>9</v>
      </c>
      <c r="H15" s="40">
        <v>7</v>
      </c>
      <c r="I15" s="41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4FA2F-AA61-4B30-AC40-6235EF9D29F3}">
  <sheetPr>
    <tabColor rgb="FFFF3300"/>
  </sheetPr>
  <dimension ref="B3:C50"/>
  <sheetViews>
    <sheetView workbookViewId="0"/>
  </sheetViews>
  <sheetFormatPr defaultRowHeight="15" x14ac:dyDescent="0.25"/>
  <cols>
    <col min="1" max="1" width="1.7109375" customWidth="1"/>
    <col min="2" max="2" width="14" customWidth="1"/>
    <col min="3" max="3" width="28.85546875" customWidth="1"/>
  </cols>
  <sheetData>
    <row r="3" spans="2:3" x14ac:dyDescent="0.25">
      <c r="B3" s="48" t="s">
        <v>103</v>
      </c>
      <c r="C3" s="48" t="s">
        <v>144</v>
      </c>
    </row>
    <row r="4" spans="2:3" x14ac:dyDescent="0.25">
      <c r="B4" s="50" t="s">
        <v>41</v>
      </c>
      <c r="C4" s="50" t="s">
        <v>90</v>
      </c>
    </row>
    <row r="5" spans="2:3" x14ac:dyDescent="0.25">
      <c r="B5" s="50" t="s">
        <v>16</v>
      </c>
      <c r="C5" s="50" t="s">
        <v>91</v>
      </c>
    </row>
    <row r="6" spans="2:3" x14ac:dyDescent="0.25">
      <c r="B6" s="50" t="s">
        <v>22</v>
      </c>
      <c r="C6" s="50" t="s">
        <v>91</v>
      </c>
    </row>
    <row r="7" spans="2:3" x14ac:dyDescent="0.25">
      <c r="B7" s="50" t="s">
        <v>104</v>
      </c>
      <c r="C7" s="50" t="s">
        <v>91</v>
      </c>
    </row>
    <row r="8" spans="2:3" x14ac:dyDescent="0.25">
      <c r="B8" s="50" t="s">
        <v>105</v>
      </c>
      <c r="C8" s="50" t="s">
        <v>91</v>
      </c>
    </row>
    <row r="9" spans="2:3" x14ac:dyDescent="0.25">
      <c r="B9" s="50" t="s">
        <v>106</v>
      </c>
      <c r="C9" s="50" t="s">
        <v>91</v>
      </c>
    </row>
    <row r="10" spans="2:3" x14ac:dyDescent="0.25">
      <c r="B10" s="50" t="s">
        <v>107</v>
      </c>
      <c r="C10" s="50" t="s">
        <v>91</v>
      </c>
    </row>
    <row r="11" spans="2:3" x14ac:dyDescent="0.25">
      <c r="B11" s="50" t="s">
        <v>108</v>
      </c>
      <c r="C11" s="50" t="s">
        <v>92</v>
      </c>
    </row>
    <row r="12" spans="2:3" x14ac:dyDescent="0.25">
      <c r="B12" s="50" t="s">
        <v>109</v>
      </c>
      <c r="C12" s="50" t="s">
        <v>92</v>
      </c>
    </row>
    <row r="13" spans="2:3" x14ac:dyDescent="0.25">
      <c r="B13" s="50" t="s">
        <v>110</v>
      </c>
      <c r="C13" s="50" t="s">
        <v>92</v>
      </c>
    </row>
    <row r="14" spans="2:3" x14ac:dyDescent="0.25">
      <c r="B14" s="50" t="s">
        <v>111</v>
      </c>
      <c r="C14" s="50" t="s">
        <v>93</v>
      </c>
    </row>
    <row r="15" spans="2:3" x14ac:dyDescent="0.25">
      <c r="B15" s="50" t="s">
        <v>112</v>
      </c>
      <c r="C15" s="50" t="s">
        <v>93</v>
      </c>
    </row>
    <row r="16" spans="2:3" x14ac:dyDescent="0.25">
      <c r="B16" s="50" t="s">
        <v>113</v>
      </c>
      <c r="C16" s="50" t="s">
        <v>93</v>
      </c>
    </row>
    <row r="17" spans="2:3" x14ac:dyDescent="0.25">
      <c r="B17" s="50" t="s">
        <v>114</v>
      </c>
      <c r="C17" s="50" t="s">
        <v>94</v>
      </c>
    </row>
    <row r="18" spans="2:3" x14ac:dyDescent="0.25">
      <c r="B18" s="50" t="s">
        <v>45</v>
      </c>
      <c r="C18" s="50" t="s">
        <v>94</v>
      </c>
    </row>
    <row r="19" spans="2:3" x14ac:dyDescent="0.25">
      <c r="B19" s="50" t="s">
        <v>115</v>
      </c>
      <c r="C19" s="50" t="s">
        <v>95</v>
      </c>
    </row>
    <row r="20" spans="2:3" x14ac:dyDescent="0.25">
      <c r="B20" s="50" t="s">
        <v>116</v>
      </c>
      <c r="C20" s="50" t="s">
        <v>95</v>
      </c>
    </row>
    <row r="21" spans="2:3" x14ac:dyDescent="0.25">
      <c r="B21" s="50" t="s">
        <v>117</v>
      </c>
      <c r="C21" s="50" t="s">
        <v>95</v>
      </c>
    </row>
    <row r="22" spans="2:3" x14ac:dyDescent="0.25">
      <c r="B22" s="50" t="s">
        <v>118</v>
      </c>
      <c r="C22" s="50" t="s">
        <v>95</v>
      </c>
    </row>
    <row r="23" spans="2:3" x14ac:dyDescent="0.25">
      <c r="B23" s="50" t="s">
        <v>119</v>
      </c>
      <c r="C23" s="50" t="s">
        <v>95</v>
      </c>
    </row>
    <row r="24" spans="2:3" x14ac:dyDescent="0.25">
      <c r="B24" s="50" t="s">
        <v>28</v>
      </c>
      <c r="C24" s="50" t="s">
        <v>95</v>
      </c>
    </row>
    <row r="25" spans="2:3" x14ac:dyDescent="0.25">
      <c r="B25" s="50" t="s">
        <v>120</v>
      </c>
      <c r="C25" s="50" t="s">
        <v>95</v>
      </c>
    </row>
    <row r="26" spans="2:3" x14ac:dyDescent="0.25">
      <c r="B26" s="50" t="s">
        <v>121</v>
      </c>
      <c r="C26" s="50" t="s">
        <v>95</v>
      </c>
    </row>
    <row r="27" spans="2:3" x14ac:dyDescent="0.25">
      <c r="B27" s="50" t="s">
        <v>122</v>
      </c>
      <c r="C27" s="50" t="s">
        <v>95</v>
      </c>
    </row>
    <row r="28" spans="2:3" x14ac:dyDescent="0.25">
      <c r="B28" s="50" t="s">
        <v>123</v>
      </c>
      <c r="C28" s="50" t="s">
        <v>95</v>
      </c>
    </row>
    <row r="29" spans="2:3" x14ac:dyDescent="0.25">
      <c r="B29" s="50" t="s">
        <v>124</v>
      </c>
      <c r="C29" s="50" t="s">
        <v>95</v>
      </c>
    </row>
    <row r="30" spans="2:3" x14ac:dyDescent="0.25">
      <c r="B30" s="50" t="s">
        <v>125</v>
      </c>
      <c r="C30" s="50" t="s">
        <v>95</v>
      </c>
    </row>
    <row r="31" spans="2:3" x14ac:dyDescent="0.25">
      <c r="B31" s="50" t="s">
        <v>126</v>
      </c>
      <c r="C31" s="50" t="s">
        <v>96</v>
      </c>
    </row>
    <row r="32" spans="2:3" x14ac:dyDescent="0.25">
      <c r="B32" s="50" t="s">
        <v>127</v>
      </c>
      <c r="C32" s="50" t="s">
        <v>96</v>
      </c>
    </row>
    <row r="33" spans="2:3" x14ac:dyDescent="0.25">
      <c r="B33" s="50" t="s">
        <v>128</v>
      </c>
      <c r="C33" s="50" t="s">
        <v>96</v>
      </c>
    </row>
    <row r="34" spans="2:3" x14ac:dyDescent="0.25">
      <c r="B34" s="50" t="s">
        <v>129</v>
      </c>
      <c r="C34" s="50" t="s">
        <v>96</v>
      </c>
    </row>
    <row r="35" spans="2:3" x14ac:dyDescent="0.25">
      <c r="B35" s="50" t="s">
        <v>130</v>
      </c>
      <c r="C35" s="50" t="s">
        <v>96</v>
      </c>
    </row>
    <row r="36" spans="2:3" x14ac:dyDescent="0.25">
      <c r="B36" s="50" t="s">
        <v>131</v>
      </c>
      <c r="C36" s="50" t="s">
        <v>96</v>
      </c>
    </row>
    <row r="37" spans="2:3" x14ac:dyDescent="0.25">
      <c r="B37" s="50" t="s">
        <v>132</v>
      </c>
      <c r="C37" s="50" t="s">
        <v>97</v>
      </c>
    </row>
    <row r="38" spans="2:3" x14ac:dyDescent="0.25">
      <c r="B38" s="50" t="s">
        <v>133</v>
      </c>
      <c r="C38" s="50" t="s">
        <v>97</v>
      </c>
    </row>
    <row r="39" spans="2:3" x14ac:dyDescent="0.25">
      <c r="B39" s="50" t="s">
        <v>134</v>
      </c>
      <c r="C39" s="50" t="s">
        <v>98</v>
      </c>
    </row>
    <row r="40" spans="2:3" x14ac:dyDescent="0.25">
      <c r="B40" s="50" t="s">
        <v>135</v>
      </c>
      <c r="C40" s="50" t="s">
        <v>98</v>
      </c>
    </row>
    <row r="41" spans="2:3" x14ac:dyDescent="0.25">
      <c r="B41" s="50" t="s">
        <v>48</v>
      </c>
      <c r="C41" s="50" t="s">
        <v>99</v>
      </c>
    </row>
    <row r="42" spans="2:3" x14ac:dyDescent="0.25">
      <c r="B42" s="50" t="s">
        <v>51</v>
      </c>
      <c r="C42" s="50" t="s">
        <v>99</v>
      </c>
    </row>
    <row r="43" spans="2:3" x14ac:dyDescent="0.25">
      <c r="B43" s="50" t="s">
        <v>136</v>
      </c>
      <c r="C43" s="50" t="s">
        <v>100</v>
      </c>
    </row>
    <row r="44" spans="2:3" x14ac:dyDescent="0.25">
      <c r="B44" s="50" t="s">
        <v>137</v>
      </c>
      <c r="C44" s="50" t="s">
        <v>100</v>
      </c>
    </row>
    <row r="45" spans="2:3" x14ac:dyDescent="0.25">
      <c r="B45" s="50" t="s">
        <v>138</v>
      </c>
      <c r="C45" s="50" t="s">
        <v>100</v>
      </c>
    </row>
    <row r="46" spans="2:3" x14ac:dyDescent="0.25">
      <c r="B46" s="50" t="s">
        <v>139</v>
      </c>
      <c r="C46" s="50" t="s">
        <v>100</v>
      </c>
    </row>
    <row r="47" spans="2:3" x14ac:dyDescent="0.25">
      <c r="B47" s="50" t="s">
        <v>55</v>
      </c>
      <c r="C47" s="50" t="s">
        <v>100</v>
      </c>
    </row>
    <row r="48" spans="2:3" x14ac:dyDescent="0.25">
      <c r="B48" s="50" t="s">
        <v>140</v>
      </c>
      <c r="C48" s="50" t="s">
        <v>100</v>
      </c>
    </row>
    <row r="49" spans="2:3" x14ac:dyDescent="0.25">
      <c r="B49" s="50" t="s">
        <v>141</v>
      </c>
      <c r="C49" s="50" t="s">
        <v>100</v>
      </c>
    </row>
    <row r="50" spans="2:3" x14ac:dyDescent="0.25">
      <c r="B50" s="50" t="s">
        <v>142</v>
      </c>
      <c r="C50" s="50" t="s">
        <v>100</v>
      </c>
    </row>
  </sheetData>
  <phoneticPr fontId="9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D0B33-BB2F-44AC-917B-76A04E0D43E7}">
  <sheetPr>
    <tabColor rgb="FFFF3300"/>
  </sheetPr>
  <dimension ref="B3:E1532"/>
  <sheetViews>
    <sheetView workbookViewId="0"/>
  </sheetViews>
  <sheetFormatPr defaultRowHeight="15" x14ac:dyDescent="0.25"/>
  <cols>
    <col min="1" max="1" width="1.7109375" customWidth="1"/>
    <col min="2" max="2" width="19" customWidth="1"/>
    <col min="3" max="4" width="12.140625" customWidth="1"/>
  </cols>
  <sheetData>
    <row r="3" spans="2:5" x14ac:dyDescent="0.25">
      <c r="B3" s="48" t="s">
        <v>144</v>
      </c>
      <c r="C3" s="48" t="s">
        <v>143</v>
      </c>
      <c r="D3" s="49" t="s">
        <v>145</v>
      </c>
    </row>
    <row r="4" spans="2:5" x14ac:dyDescent="0.25">
      <c r="B4" s="50" t="s">
        <v>90</v>
      </c>
      <c r="C4" s="50">
        <v>400</v>
      </c>
      <c r="D4" s="51" t="s">
        <v>67</v>
      </c>
      <c r="E4" s="52"/>
    </row>
    <row r="5" spans="2:5" x14ac:dyDescent="0.25">
      <c r="B5" s="50" t="s">
        <v>90</v>
      </c>
      <c r="C5" s="50">
        <v>362</v>
      </c>
      <c r="D5" s="51" t="s">
        <v>68</v>
      </c>
      <c r="E5" s="52"/>
    </row>
    <row r="6" spans="2:5" x14ac:dyDescent="0.25">
      <c r="B6" s="50" t="s">
        <v>90</v>
      </c>
      <c r="C6" s="50">
        <v>420</v>
      </c>
      <c r="D6" s="51" t="s">
        <v>68</v>
      </c>
      <c r="E6" s="52"/>
    </row>
    <row r="7" spans="2:5" x14ac:dyDescent="0.25">
      <c r="B7" s="50" t="s">
        <v>90</v>
      </c>
      <c r="C7" s="50">
        <v>399</v>
      </c>
      <c r="D7" s="51" t="s">
        <v>68</v>
      </c>
      <c r="E7" s="52"/>
    </row>
    <row r="8" spans="2:5" x14ac:dyDescent="0.25">
      <c r="B8" s="50" t="s">
        <v>90</v>
      </c>
      <c r="C8" s="50">
        <v>469</v>
      </c>
      <c r="D8" s="51" t="s">
        <v>68</v>
      </c>
      <c r="E8" s="52"/>
    </row>
    <row r="9" spans="2:5" x14ac:dyDescent="0.25">
      <c r="B9" s="50" t="s">
        <v>90</v>
      </c>
      <c r="C9" s="50">
        <v>306</v>
      </c>
      <c r="D9" s="51" t="s">
        <v>68</v>
      </c>
      <c r="E9" s="52"/>
    </row>
    <row r="10" spans="2:5" x14ac:dyDescent="0.25">
      <c r="B10" s="50" t="s">
        <v>90</v>
      </c>
      <c r="C10" s="50">
        <v>442</v>
      </c>
      <c r="D10" s="51" t="s">
        <v>69</v>
      </c>
      <c r="E10" s="52"/>
    </row>
    <row r="11" spans="2:5" x14ac:dyDescent="0.25">
      <c r="B11" s="50" t="s">
        <v>90</v>
      </c>
      <c r="C11" s="50">
        <v>301</v>
      </c>
      <c r="D11" s="51" t="s">
        <v>69</v>
      </c>
      <c r="E11" s="52"/>
    </row>
    <row r="12" spans="2:5" x14ac:dyDescent="0.25">
      <c r="B12" s="50" t="s">
        <v>90</v>
      </c>
      <c r="C12" s="50">
        <v>444</v>
      </c>
      <c r="D12" s="51" t="s">
        <v>69</v>
      </c>
      <c r="E12" s="52"/>
    </row>
    <row r="13" spans="2:5" x14ac:dyDescent="0.25">
      <c r="B13" s="50" t="s">
        <v>90</v>
      </c>
      <c r="C13" s="50">
        <v>365</v>
      </c>
      <c r="D13" s="51" t="s">
        <v>69</v>
      </c>
      <c r="E13" s="52"/>
    </row>
    <row r="14" spans="2:5" x14ac:dyDescent="0.25">
      <c r="B14" s="50" t="s">
        <v>90</v>
      </c>
      <c r="C14" s="50">
        <v>506</v>
      </c>
      <c r="D14" s="51" t="s">
        <v>69</v>
      </c>
      <c r="E14" s="52"/>
    </row>
    <row r="15" spans="2:5" x14ac:dyDescent="0.25">
      <c r="B15" s="50" t="s">
        <v>90</v>
      </c>
      <c r="C15" s="50">
        <v>418</v>
      </c>
      <c r="D15" s="51" t="s">
        <v>69</v>
      </c>
      <c r="E15" s="52"/>
    </row>
    <row r="16" spans="2:5" x14ac:dyDescent="0.25">
      <c r="B16" s="50" t="s">
        <v>90</v>
      </c>
      <c r="C16" s="50">
        <v>333</v>
      </c>
      <c r="D16" s="51" t="s">
        <v>70</v>
      </c>
      <c r="E16" s="52"/>
    </row>
    <row r="17" spans="2:5" x14ac:dyDescent="0.25">
      <c r="B17" s="50" t="s">
        <v>90</v>
      </c>
      <c r="C17" s="50">
        <v>527</v>
      </c>
      <c r="D17" s="51" t="s">
        <v>70</v>
      </c>
      <c r="E17" s="52"/>
    </row>
    <row r="18" spans="2:5" x14ac:dyDescent="0.25">
      <c r="B18" s="50" t="s">
        <v>90</v>
      </c>
      <c r="C18" s="50">
        <v>445</v>
      </c>
      <c r="D18" s="51" t="s">
        <v>70</v>
      </c>
      <c r="E18" s="52"/>
    </row>
    <row r="19" spans="2:5" x14ac:dyDescent="0.25">
      <c r="B19" s="50" t="s">
        <v>90</v>
      </c>
      <c r="C19" s="50">
        <v>482</v>
      </c>
      <c r="D19" s="51" t="s">
        <v>70</v>
      </c>
      <c r="E19" s="52"/>
    </row>
    <row r="20" spans="2:5" x14ac:dyDescent="0.25">
      <c r="B20" s="50" t="s">
        <v>90</v>
      </c>
      <c r="C20" s="50">
        <v>440</v>
      </c>
      <c r="D20" s="51" t="s">
        <v>70</v>
      </c>
      <c r="E20" s="52"/>
    </row>
    <row r="21" spans="2:5" x14ac:dyDescent="0.25">
      <c r="B21" s="50" t="s">
        <v>90</v>
      </c>
      <c r="C21" s="50">
        <v>545</v>
      </c>
      <c r="D21" s="51" t="s">
        <v>70</v>
      </c>
      <c r="E21" s="52"/>
    </row>
    <row r="22" spans="2:5" x14ac:dyDescent="0.25">
      <c r="B22" s="50" t="s">
        <v>90</v>
      </c>
      <c r="C22" s="50">
        <v>323</v>
      </c>
      <c r="D22" s="51" t="s">
        <v>70</v>
      </c>
      <c r="E22" s="52"/>
    </row>
    <row r="23" spans="2:5" x14ac:dyDescent="0.25">
      <c r="B23" s="50" t="s">
        <v>90</v>
      </c>
      <c r="C23" s="50">
        <v>376</v>
      </c>
      <c r="D23" s="51" t="s">
        <v>70</v>
      </c>
      <c r="E23" s="52"/>
    </row>
    <row r="24" spans="2:5" x14ac:dyDescent="0.25">
      <c r="B24" s="50" t="s">
        <v>90</v>
      </c>
      <c r="C24" s="50">
        <v>500</v>
      </c>
      <c r="D24" s="51" t="s">
        <v>70</v>
      </c>
      <c r="E24" s="52"/>
    </row>
    <row r="25" spans="2:5" x14ac:dyDescent="0.25">
      <c r="B25" s="50" t="s">
        <v>90</v>
      </c>
      <c r="C25" s="50">
        <v>471</v>
      </c>
      <c r="D25" s="51" t="s">
        <v>70</v>
      </c>
      <c r="E25" s="52"/>
    </row>
    <row r="26" spans="2:5" x14ac:dyDescent="0.25">
      <c r="B26" s="50" t="s">
        <v>90</v>
      </c>
      <c r="C26" s="50">
        <v>508</v>
      </c>
      <c r="D26" s="51" t="s">
        <v>70</v>
      </c>
      <c r="E26" s="52"/>
    </row>
    <row r="27" spans="2:5" x14ac:dyDescent="0.25">
      <c r="B27" s="50" t="s">
        <v>90</v>
      </c>
      <c r="C27" s="50">
        <v>448</v>
      </c>
      <c r="D27" s="51" t="s">
        <v>70</v>
      </c>
      <c r="E27" s="52"/>
    </row>
    <row r="28" spans="2:5" x14ac:dyDescent="0.25">
      <c r="B28" s="50" t="s">
        <v>90</v>
      </c>
      <c r="C28" s="50">
        <v>373</v>
      </c>
      <c r="D28" s="51" t="s">
        <v>70</v>
      </c>
      <c r="E28" s="52"/>
    </row>
    <row r="29" spans="2:5" x14ac:dyDescent="0.25">
      <c r="B29" s="50" t="s">
        <v>90</v>
      </c>
      <c r="C29" s="50">
        <v>463</v>
      </c>
      <c r="D29" s="51" t="s">
        <v>70</v>
      </c>
      <c r="E29" s="52"/>
    </row>
    <row r="30" spans="2:5" x14ac:dyDescent="0.25">
      <c r="B30" s="50" t="s">
        <v>90</v>
      </c>
      <c r="C30" s="50">
        <v>499</v>
      </c>
      <c r="D30" s="51" t="s">
        <v>70</v>
      </c>
      <c r="E30" s="52"/>
    </row>
    <row r="31" spans="2:5" x14ac:dyDescent="0.25">
      <c r="B31" s="50" t="s">
        <v>90</v>
      </c>
      <c r="C31" s="50">
        <v>403</v>
      </c>
      <c r="D31" s="51" t="s">
        <v>70</v>
      </c>
      <c r="E31" s="52"/>
    </row>
    <row r="32" spans="2:5" x14ac:dyDescent="0.25">
      <c r="B32" s="50" t="s">
        <v>90</v>
      </c>
      <c r="C32" s="50">
        <v>385</v>
      </c>
      <c r="D32" s="51" t="s">
        <v>70</v>
      </c>
      <c r="E32" s="52"/>
    </row>
    <row r="33" spans="2:5" x14ac:dyDescent="0.25">
      <c r="B33" s="50" t="s">
        <v>90</v>
      </c>
      <c r="C33" s="50">
        <v>510</v>
      </c>
      <c r="D33" s="51" t="s">
        <v>70</v>
      </c>
      <c r="E33" s="52"/>
    </row>
    <row r="34" spans="2:5" x14ac:dyDescent="0.25">
      <c r="B34" s="50" t="s">
        <v>90</v>
      </c>
      <c r="C34" s="50">
        <v>390</v>
      </c>
      <c r="D34" s="51" t="s">
        <v>70</v>
      </c>
      <c r="E34" s="52"/>
    </row>
    <row r="35" spans="2:5" x14ac:dyDescent="0.25">
      <c r="B35" s="50" t="s">
        <v>90</v>
      </c>
      <c r="C35" s="50">
        <v>515</v>
      </c>
      <c r="D35" s="51" t="s">
        <v>70</v>
      </c>
      <c r="E35" s="52"/>
    </row>
    <row r="36" spans="2:5" x14ac:dyDescent="0.25">
      <c r="B36" s="50" t="s">
        <v>90</v>
      </c>
      <c r="C36" s="50">
        <v>521</v>
      </c>
      <c r="D36" s="51" t="s">
        <v>70</v>
      </c>
      <c r="E36" s="52"/>
    </row>
    <row r="37" spans="2:5" x14ac:dyDescent="0.25">
      <c r="B37" s="50" t="s">
        <v>90</v>
      </c>
      <c r="C37" s="50">
        <v>450</v>
      </c>
      <c r="D37" s="51" t="s">
        <v>70</v>
      </c>
      <c r="E37" s="52"/>
    </row>
    <row r="38" spans="2:5" x14ac:dyDescent="0.25">
      <c r="B38" s="50" t="s">
        <v>90</v>
      </c>
      <c r="C38" s="50">
        <v>496</v>
      </c>
      <c r="D38" s="51" t="s">
        <v>70</v>
      </c>
      <c r="E38" s="52"/>
    </row>
    <row r="39" spans="2:5" x14ac:dyDescent="0.25">
      <c r="B39" s="50" t="s">
        <v>90</v>
      </c>
      <c r="C39" s="50">
        <v>377</v>
      </c>
      <c r="D39" s="51" t="s">
        <v>70</v>
      </c>
      <c r="E39" s="52"/>
    </row>
    <row r="40" spans="2:5" x14ac:dyDescent="0.25">
      <c r="B40" s="50" t="s">
        <v>90</v>
      </c>
      <c r="C40" s="50">
        <v>464</v>
      </c>
      <c r="D40" s="51" t="s">
        <v>70</v>
      </c>
      <c r="E40" s="52"/>
    </row>
    <row r="41" spans="2:5" x14ac:dyDescent="0.25">
      <c r="B41" s="50" t="s">
        <v>90</v>
      </c>
      <c r="C41" s="50">
        <v>503</v>
      </c>
      <c r="D41" s="51" t="s">
        <v>70</v>
      </c>
      <c r="E41" s="52"/>
    </row>
    <row r="42" spans="2:5" x14ac:dyDescent="0.25">
      <c r="B42" s="50" t="s">
        <v>90</v>
      </c>
      <c r="C42" s="50">
        <v>517</v>
      </c>
      <c r="D42" s="51" t="s">
        <v>70</v>
      </c>
      <c r="E42" s="52"/>
    </row>
    <row r="43" spans="2:5" x14ac:dyDescent="0.25">
      <c r="B43" s="50" t="s">
        <v>90</v>
      </c>
      <c r="C43" s="50">
        <v>447</v>
      </c>
      <c r="D43" s="51" t="s">
        <v>70</v>
      </c>
      <c r="E43" s="52"/>
    </row>
    <row r="44" spans="2:5" x14ac:dyDescent="0.25">
      <c r="B44" s="50" t="s">
        <v>90</v>
      </c>
      <c r="C44" s="50">
        <v>509</v>
      </c>
      <c r="D44" s="51" t="s">
        <v>70</v>
      </c>
      <c r="E44" s="52"/>
    </row>
    <row r="45" spans="2:5" x14ac:dyDescent="0.25">
      <c r="B45" s="50" t="s">
        <v>90</v>
      </c>
      <c r="C45" s="50">
        <v>361</v>
      </c>
      <c r="D45" s="51" t="s">
        <v>70</v>
      </c>
      <c r="E45" s="52"/>
    </row>
    <row r="46" spans="2:5" x14ac:dyDescent="0.25">
      <c r="B46" s="50" t="s">
        <v>90</v>
      </c>
      <c r="C46" s="50">
        <v>532</v>
      </c>
      <c r="D46" s="51" t="s">
        <v>70</v>
      </c>
      <c r="E46" s="52"/>
    </row>
    <row r="47" spans="2:5" x14ac:dyDescent="0.25">
      <c r="B47" s="50" t="s">
        <v>90</v>
      </c>
      <c r="C47" s="50">
        <v>314</v>
      </c>
      <c r="D47" s="51" t="s">
        <v>70</v>
      </c>
      <c r="E47" s="52"/>
    </row>
    <row r="48" spans="2:5" x14ac:dyDescent="0.25">
      <c r="B48" s="50" t="s">
        <v>90</v>
      </c>
      <c r="C48" s="50">
        <v>546</v>
      </c>
      <c r="D48" s="51" t="s">
        <v>70</v>
      </c>
      <c r="E48" s="52"/>
    </row>
    <row r="49" spans="2:5" x14ac:dyDescent="0.25">
      <c r="B49" s="50" t="s">
        <v>90</v>
      </c>
      <c r="C49" s="50">
        <v>416</v>
      </c>
      <c r="D49" s="51" t="s">
        <v>70</v>
      </c>
      <c r="E49" s="52"/>
    </row>
    <row r="50" spans="2:5" x14ac:dyDescent="0.25">
      <c r="B50" s="50" t="s">
        <v>90</v>
      </c>
      <c r="C50" s="50">
        <v>489</v>
      </c>
      <c r="D50" s="51" t="s">
        <v>70</v>
      </c>
      <c r="E50" s="52"/>
    </row>
    <row r="51" spans="2:5" x14ac:dyDescent="0.25">
      <c r="B51" s="50" t="s">
        <v>90</v>
      </c>
      <c r="C51" s="50">
        <v>519</v>
      </c>
      <c r="D51" s="51" t="s">
        <v>70</v>
      </c>
      <c r="E51" s="52"/>
    </row>
    <row r="52" spans="2:5" x14ac:dyDescent="0.25">
      <c r="B52" s="50" t="s">
        <v>90</v>
      </c>
      <c r="C52" s="50">
        <v>424</v>
      </c>
      <c r="D52" s="51" t="s">
        <v>70</v>
      </c>
      <c r="E52" s="52"/>
    </row>
    <row r="53" spans="2:5" x14ac:dyDescent="0.25">
      <c r="B53" s="50" t="s">
        <v>90</v>
      </c>
      <c r="C53" s="50">
        <v>201</v>
      </c>
      <c r="D53" s="51" t="s">
        <v>70</v>
      </c>
      <c r="E53" s="52"/>
    </row>
    <row r="54" spans="2:5" x14ac:dyDescent="0.25">
      <c r="B54" s="50" t="s">
        <v>90</v>
      </c>
      <c r="C54" s="50">
        <v>495</v>
      </c>
      <c r="D54" s="51" t="s">
        <v>70</v>
      </c>
      <c r="E54" s="52"/>
    </row>
    <row r="55" spans="2:5" x14ac:dyDescent="0.25">
      <c r="B55" s="50" t="s">
        <v>90</v>
      </c>
      <c r="C55" s="50">
        <v>494</v>
      </c>
      <c r="D55" s="51" t="s">
        <v>70</v>
      </c>
      <c r="E55" s="52"/>
    </row>
    <row r="56" spans="2:5" x14ac:dyDescent="0.25">
      <c r="B56" s="50" t="s">
        <v>90</v>
      </c>
      <c r="C56" s="50">
        <v>423</v>
      </c>
      <c r="D56" s="51" t="s">
        <v>70</v>
      </c>
      <c r="E56" s="52"/>
    </row>
    <row r="57" spans="2:5" x14ac:dyDescent="0.25">
      <c r="B57" s="50" t="s">
        <v>90</v>
      </c>
      <c r="C57" s="50">
        <v>474</v>
      </c>
      <c r="D57" s="51" t="s">
        <v>70</v>
      </c>
      <c r="E57" s="52"/>
    </row>
    <row r="58" spans="2:5" x14ac:dyDescent="0.25">
      <c r="B58" s="50" t="s">
        <v>90</v>
      </c>
      <c r="C58" s="50">
        <v>468</v>
      </c>
      <c r="D58" s="51" t="s">
        <v>70</v>
      </c>
      <c r="E58" s="52"/>
    </row>
    <row r="59" spans="2:5" x14ac:dyDescent="0.25">
      <c r="B59" s="50" t="s">
        <v>90</v>
      </c>
      <c r="C59" s="50">
        <v>514</v>
      </c>
      <c r="D59" s="51" t="s">
        <v>70</v>
      </c>
      <c r="E59" s="52"/>
    </row>
    <row r="60" spans="2:5" x14ac:dyDescent="0.25">
      <c r="B60" s="50" t="s">
        <v>90</v>
      </c>
      <c r="C60" s="50">
        <v>513</v>
      </c>
      <c r="D60" s="51" t="s">
        <v>70</v>
      </c>
      <c r="E60" s="52"/>
    </row>
    <row r="61" spans="2:5" x14ac:dyDescent="0.25">
      <c r="B61" s="50" t="s">
        <v>90</v>
      </c>
      <c r="C61" s="50">
        <v>479</v>
      </c>
      <c r="D61" s="51" t="s">
        <v>71</v>
      </c>
      <c r="E61" s="52"/>
    </row>
    <row r="62" spans="2:5" x14ac:dyDescent="0.25">
      <c r="B62" s="50" t="s">
        <v>90</v>
      </c>
      <c r="C62" s="50">
        <v>417</v>
      </c>
      <c r="D62" s="51" t="s">
        <v>71</v>
      </c>
      <c r="E62" s="52"/>
    </row>
    <row r="63" spans="2:5" x14ac:dyDescent="0.25">
      <c r="B63" s="50" t="s">
        <v>90</v>
      </c>
      <c r="C63" s="50">
        <v>313</v>
      </c>
      <c r="D63" s="51" t="s">
        <v>71</v>
      </c>
      <c r="E63" s="52"/>
    </row>
    <row r="64" spans="2:5" x14ac:dyDescent="0.25">
      <c r="B64" s="50" t="s">
        <v>90</v>
      </c>
      <c r="C64" s="50">
        <v>328</v>
      </c>
      <c r="D64" s="51" t="s">
        <v>71</v>
      </c>
      <c r="E64" s="52"/>
    </row>
    <row r="65" spans="2:5" x14ac:dyDescent="0.25">
      <c r="B65" s="50" t="s">
        <v>90</v>
      </c>
      <c r="C65" s="50">
        <v>472</v>
      </c>
      <c r="D65" s="51" t="s">
        <v>71</v>
      </c>
      <c r="E65" s="52"/>
    </row>
    <row r="66" spans="2:5" x14ac:dyDescent="0.25">
      <c r="B66" s="50" t="s">
        <v>90</v>
      </c>
      <c r="C66" s="50">
        <v>543</v>
      </c>
      <c r="D66" s="51" t="s">
        <v>71</v>
      </c>
      <c r="E66" s="52"/>
    </row>
    <row r="67" spans="2:5" x14ac:dyDescent="0.25">
      <c r="B67" s="50" t="s">
        <v>90</v>
      </c>
      <c r="C67" s="50">
        <v>487</v>
      </c>
      <c r="D67" s="51" t="s">
        <v>71</v>
      </c>
      <c r="E67" s="52"/>
    </row>
    <row r="68" spans="2:5" x14ac:dyDescent="0.25">
      <c r="B68" s="50" t="s">
        <v>90</v>
      </c>
      <c r="C68" s="50">
        <v>438</v>
      </c>
      <c r="D68" s="51" t="s">
        <v>71</v>
      </c>
      <c r="E68" s="52"/>
    </row>
    <row r="69" spans="2:5" x14ac:dyDescent="0.25">
      <c r="B69" s="50" t="s">
        <v>90</v>
      </c>
      <c r="C69" s="50">
        <v>322</v>
      </c>
      <c r="D69" s="51" t="s">
        <v>71</v>
      </c>
      <c r="E69" s="52"/>
    </row>
    <row r="70" spans="2:5" x14ac:dyDescent="0.25">
      <c r="B70" s="50" t="s">
        <v>90</v>
      </c>
      <c r="C70" s="50">
        <v>533</v>
      </c>
      <c r="D70" s="51" t="s">
        <v>71</v>
      </c>
      <c r="E70" s="52"/>
    </row>
    <row r="71" spans="2:5" x14ac:dyDescent="0.25">
      <c r="B71" s="50" t="s">
        <v>90</v>
      </c>
      <c r="C71" s="50">
        <v>304</v>
      </c>
      <c r="D71" s="51" t="s">
        <v>71</v>
      </c>
      <c r="E71" s="52"/>
    </row>
    <row r="72" spans="2:5" x14ac:dyDescent="0.25">
      <c r="B72" s="50" t="s">
        <v>90</v>
      </c>
      <c r="C72" s="50">
        <v>402</v>
      </c>
      <c r="D72" s="51" t="s">
        <v>71</v>
      </c>
      <c r="E72" s="52"/>
    </row>
    <row r="73" spans="2:5" x14ac:dyDescent="0.25">
      <c r="B73" s="50" t="s">
        <v>90</v>
      </c>
      <c r="C73" s="50">
        <v>511</v>
      </c>
      <c r="D73" s="51" t="s">
        <v>71</v>
      </c>
      <c r="E73" s="52"/>
    </row>
    <row r="74" spans="2:5" x14ac:dyDescent="0.25">
      <c r="B74" s="50" t="s">
        <v>90</v>
      </c>
      <c r="C74" s="50">
        <v>523</v>
      </c>
      <c r="D74" s="51" t="s">
        <v>71</v>
      </c>
      <c r="E74" s="52"/>
    </row>
    <row r="75" spans="2:5" x14ac:dyDescent="0.25">
      <c r="B75" s="50" t="s">
        <v>90</v>
      </c>
      <c r="C75" s="50">
        <v>478</v>
      </c>
      <c r="D75" s="51" t="s">
        <v>71</v>
      </c>
      <c r="E75" s="52"/>
    </row>
    <row r="76" spans="2:5" x14ac:dyDescent="0.25">
      <c r="B76" s="50" t="s">
        <v>90</v>
      </c>
      <c r="C76" s="50">
        <v>454</v>
      </c>
      <c r="D76" s="51" t="s">
        <v>71</v>
      </c>
      <c r="E76" s="52"/>
    </row>
    <row r="77" spans="2:5" x14ac:dyDescent="0.25">
      <c r="B77" s="50" t="s">
        <v>90</v>
      </c>
      <c r="C77" s="50">
        <v>544</v>
      </c>
      <c r="D77" s="51" t="s">
        <v>71</v>
      </c>
      <c r="E77" s="52"/>
    </row>
    <row r="78" spans="2:5" x14ac:dyDescent="0.25">
      <c r="B78" s="50" t="s">
        <v>90</v>
      </c>
      <c r="C78" s="50">
        <v>522</v>
      </c>
      <c r="D78" s="51" t="s">
        <v>71</v>
      </c>
      <c r="E78" s="52"/>
    </row>
    <row r="79" spans="2:5" x14ac:dyDescent="0.25">
      <c r="B79" s="50" t="s">
        <v>90</v>
      </c>
      <c r="C79" s="50">
        <v>455</v>
      </c>
      <c r="D79" s="51" t="s">
        <v>71</v>
      </c>
      <c r="E79" s="52"/>
    </row>
    <row r="80" spans="2:5" x14ac:dyDescent="0.25">
      <c r="B80" s="50" t="s">
        <v>90</v>
      </c>
      <c r="C80" s="50">
        <v>392</v>
      </c>
      <c r="D80" s="51" t="s">
        <v>71</v>
      </c>
      <c r="E80" s="52"/>
    </row>
    <row r="81" spans="2:5" x14ac:dyDescent="0.25">
      <c r="B81" s="50" t="s">
        <v>90</v>
      </c>
      <c r="C81" s="50">
        <v>433</v>
      </c>
      <c r="D81" s="51" t="s">
        <v>71</v>
      </c>
      <c r="E81" s="52"/>
    </row>
    <row r="82" spans="2:5" x14ac:dyDescent="0.25">
      <c r="B82" s="50" t="s">
        <v>90</v>
      </c>
      <c r="C82" s="50">
        <v>462</v>
      </c>
      <c r="D82" s="51" t="s">
        <v>71</v>
      </c>
      <c r="E82" s="52"/>
    </row>
    <row r="83" spans="2:5" x14ac:dyDescent="0.25">
      <c r="B83" s="50" t="s">
        <v>90</v>
      </c>
      <c r="C83" s="50">
        <v>332</v>
      </c>
      <c r="D83" s="51" t="s">
        <v>71</v>
      </c>
      <c r="E83" s="52"/>
    </row>
    <row r="84" spans="2:5" x14ac:dyDescent="0.25">
      <c r="B84" s="50" t="s">
        <v>90</v>
      </c>
      <c r="C84" s="50">
        <v>528</v>
      </c>
      <c r="D84" s="51" t="s">
        <v>71</v>
      </c>
      <c r="E84" s="52"/>
    </row>
    <row r="85" spans="2:5" x14ac:dyDescent="0.25">
      <c r="B85" s="50" t="s">
        <v>90</v>
      </c>
      <c r="C85" s="50">
        <v>477</v>
      </c>
      <c r="D85" s="51" t="s">
        <v>71</v>
      </c>
      <c r="E85" s="52"/>
    </row>
    <row r="86" spans="2:5" x14ac:dyDescent="0.25">
      <c r="B86" s="50" t="s">
        <v>90</v>
      </c>
      <c r="C86" s="50">
        <v>415</v>
      </c>
      <c r="D86" s="51" t="s">
        <v>71</v>
      </c>
      <c r="E86" s="52"/>
    </row>
    <row r="87" spans="2:5" x14ac:dyDescent="0.25">
      <c r="B87" s="50" t="s">
        <v>90</v>
      </c>
      <c r="C87" s="50">
        <v>308</v>
      </c>
      <c r="D87" s="51" t="s">
        <v>71</v>
      </c>
      <c r="E87" s="52"/>
    </row>
    <row r="88" spans="2:5" x14ac:dyDescent="0.25">
      <c r="B88" s="50" t="s">
        <v>90</v>
      </c>
      <c r="C88" s="50">
        <v>326</v>
      </c>
      <c r="D88" s="51" t="s">
        <v>71</v>
      </c>
      <c r="E88" s="52"/>
    </row>
    <row r="89" spans="2:5" x14ac:dyDescent="0.25">
      <c r="B89" s="50" t="s">
        <v>90</v>
      </c>
      <c r="C89" s="50">
        <v>421</v>
      </c>
      <c r="D89" s="51" t="s">
        <v>71</v>
      </c>
      <c r="E89" s="52"/>
    </row>
    <row r="90" spans="2:5" x14ac:dyDescent="0.25">
      <c r="B90" s="50" t="s">
        <v>90</v>
      </c>
      <c r="C90" s="50">
        <v>413</v>
      </c>
      <c r="D90" s="51" t="s">
        <v>71</v>
      </c>
      <c r="E90" s="52"/>
    </row>
    <row r="91" spans="2:5" x14ac:dyDescent="0.25">
      <c r="B91" s="50" t="s">
        <v>90</v>
      </c>
      <c r="C91" s="50">
        <v>321</v>
      </c>
      <c r="D91" s="51" t="s">
        <v>71</v>
      </c>
      <c r="E91" s="52"/>
    </row>
    <row r="92" spans="2:5" x14ac:dyDescent="0.25">
      <c r="B92" s="50" t="s">
        <v>90</v>
      </c>
      <c r="C92" s="50">
        <v>356</v>
      </c>
      <c r="D92" s="51" t="s">
        <v>71</v>
      </c>
      <c r="E92" s="52"/>
    </row>
    <row r="93" spans="2:5" x14ac:dyDescent="0.25">
      <c r="B93" s="50" t="s">
        <v>90</v>
      </c>
      <c r="C93" s="50">
        <v>490</v>
      </c>
      <c r="D93" s="51" t="s">
        <v>71</v>
      </c>
      <c r="E93" s="52"/>
    </row>
    <row r="94" spans="2:5" x14ac:dyDescent="0.25">
      <c r="B94" s="50" t="s">
        <v>90</v>
      </c>
      <c r="C94" s="50">
        <v>393</v>
      </c>
      <c r="D94" s="51" t="s">
        <v>71</v>
      </c>
      <c r="E94" s="52"/>
    </row>
    <row r="95" spans="2:5" x14ac:dyDescent="0.25">
      <c r="B95" s="50" t="s">
        <v>90</v>
      </c>
      <c r="C95" s="50">
        <v>331</v>
      </c>
      <c r="D95" s="51" t="s">
        <v>71</v>
      </c>
      <c r="E95" s="52"/>
    </row>
    <row r="96" spans="2:5" x14ac:dyDescent="0.25">
      <c r="B96" s="50" t="s">
        <v>90</v>
      </c>
      <c r="C96" s="50">
        <v>504</v>
      </c>
      <c r="D96" s="51" t="s">
        <v>71</v>
      </c>
      <c r="E96" s="52"/>
    </row>
    <row r="97" spans="2:5" x14ac:dyDescent="0.25">
      <c r="B97" s="50" t="s">
        <v>90</v>
      </c>
      <c r="C97" s="50">
        <v>452</v>
      </c>
      <c r="D97" s="51" t="s">
        <v>71</v>
      </c>
      <c r="E97" s="52"/>
    </row>
    <row r="98" spans="2:5" x14ac:dyDescent="0.25">
      <c r="B98" s="50" t="s">
        <v>90</v>
      </c>
      <c r="C98" s="50">
        <v>518</v>
      </c>
      <c r="D98" s="51" t="s">
        <v>71</v>
      </c>
      <c r="E98" s="52"/>
    </row>
    <row r="99" spans="2:5" x14ac:dyDescent="0.25">
      <c r="B99" s="50" t="s">
        <v>90</v>
      </c>
      <c r="C99" s="50">
        <v>397</v>
      </c>
      <c r="D99" s="51" t="s">
        <v>71</v>
      </c>
      <c r="E99" s="52"/>
    </row>
    <row r="100" spans="2:5" x14ac:dyDescent="0.25">
      <c r="B100" s="50" t="s">
        <v>90</v>
      </c>
      <c r="C100" s="50">
        <v>405</v>
      </c>
      <c r="D100" s="51" t="s">
        <v>71</v>
      </c>
      <c r="E100" s="52"/>
    </row>
    <row r="101" spans="2:5" x14ac:dyDescent="0.25">
      <c r="B101" s="50" t="s">
        <v>90</v>
      </c>
      <c r="C101" s="50">
        <v>493</v>
      </c>
      <c r="D101" s="51" t="s">
        <v>71</v>
      </c>
      <c r="E101" s="52"/>
    </row>
    <row r="102" spans="2:5" x14ac:dyDescent="0.25">
      <c r="B102" s="50" t="s">
        <v>90</v>
      </c>
      <c r="C102" s="50">
        <v>370</v>
      </c>
      <c r="D102" s="51" t="s">
        <v>71</v>
      </c>
      <c r="E102" s="52"/>
    </row>
    <row r="103" spans="2:5" x14ac:dyDescent="0.25">
      <c r="B103" s="50" t="s">
        <v>90</v>
      </c>
      <c r="C103" s="50">
        <v>529</v>
      </c>
      <c r="D103" s="51" t="s">
        <v>71</v>
      </c>
      <c r="E103" s="52"/>
    </row>
    <row r="104" spans="2:5" x14ac:dyDescent="0.25">
      <c r="B104" s="50" t="s">
        <v>90</v>
      </c>
      <c r="C104" s="50">
        <v>488</v>
      </c>
      <c r="D104" s="51" t="s">
        <v>71</v>
      </c>
      <c r="E104" s="52"/>
    </row>
    <row r="105" spans="2:5" x14ac:dyDescent="0.25">
      <c r="B105" s="50" t="s">
        <v>90</v>
      </c>
      <c r="C105" s="50">
        <v>501</v>
      </c>
      <c r="D105" s="51" t="s">
        <v>71</v>
      </c>
      <c r="E105" s="52"/>
    </row>
    <row r="106" spans="2:5" x14ac:dyDescent="0.25">
      <c r="B106" s="50" t="s">
        <v>90</v>
      </c>
      <c r="C106" s="50">
        <v>467</v>
      </c>
      <c r="D106" s="51" t="s">
        <v>71</v>
      </c>
      <c r="E106" s="52"/>
    </row>
    <row r="107" spans="2:5" x14ac:dyDescent="0.25">
      <c r="B107" s="50" t="s">
        <v>90</v>
      </c>
      <c r="C107" s="50">
        <v>334</v>
      </c>
      <c r="D107" s="51" t="s">
        <v>71</v>
      </c>
      <c r="E107" s="52"/>
    </row>
    <row r="108" spans="2:5" x14ac:dyDescent="0.25">
      <c r="B108" s="50" t="s">
        <v>90</v>
      </c>
      <c r="C108" s="50">
        <v>497</v>
      </c>
      <c r="D108" s="51" t="s">
        <v>71</v>
      </c>
      <c r="E108" s="52"/>
    </row>
    <row r="109" spans="2:5" x14ac:dyDescent="0.25">
      <c r="B109" s="50" t="s">
        <v>90</v>
      </c>
      <c r="C109" s="50">
        <v>432</v>
      </c>
      <c r="D109" s="51" t="s">
        <v>71</v>
      </c>
      <c r="E109" s="52"/>
    </row>
    <row r="110" spans="2:5" x14ac:dyDescent="0.25">
      <c r="B110" s="50" t="s">
        <v>90</v>
      </c>
      <c r="C110" s="50">
        <v>428</v>
      </c>
      <c r="D110" s="51" t="s">
        <v>71</v>
      </c>
      <c r="E110" s="52"/>
    </row>
    <row r="111" spans="2:5" x14ac:dyDescent="0.25">
      <c r="B111" s="50" t="s">
        <v>90</v>
      </c>
      <c r="C111" s="50">
        <v>429</v>
      </c>
      <c r="D111" s="51" t="s">
        <v>71</v>
      </c>
      <c r="E111" s="52"/>
    </row>
    <row r="112" spans="2:5" x14ac:dyDescent="0.25">
      <c r="B112" s="50" t="s">
        <v>90</v>
      </c>
      <c r="C112" s="50">
        <v>317</v>
      </c>
      <c r="D112" s="51" t="s">
        <v>71</v>
      </c>
      <c r="E112" s="52"/>
    </row>
    <row r="113" spans="2:5" x14ac:dyDescent="0.25">
      <c r="B113" s="50" t="s">
        <v>90</v>
      </c>
      <c r="C113" s="50">
        <v>526</v>
      </c>
      <c r="D113" s="51" t="s">
        <v>71</v>
      </c>
      <c r="E113" s="52"/>
    </row>
    <row r="114" spans="2:5" x14ac:dyDescent="0.25">
      <c r="B114" s="50" t="s">
        <v>90</v>
      </c>
      <c r="C114" s="50">
        <v>538</v>
      </c>
      <c r="D114" s="51" t="s">
        <v>71</v>
      </c>
      <c r="E114" s="52"/>
    </row>
    <row r="115" spans="2:5" x14ac:dyDescent="0.25">
      <c r="B115" s="50" t="s">
        <v>90</v>
      </c>
      <c r="C115" s="50">
        <v>335</v>
      </c>
      <c r="D115" s="51" t="s">
        <v>71</v>
      </c>
      <c r="E115" s="52"/>
    </row>
    <row r="116" spans="2:5" x14ac:dyDescent="0.25">
      <c r="B116" s="50" t="s">
        <v>90</v>
      </c>
      <c r="C116" s="50">
        <v>407</v>
      </c>
      <c r="D116" s="51" t="s">
        <v>71</v>
      </c>
      <c r="E116" s="52"/>
    </row>
    <row r="117" spans="2:5" x14ac:dyDescent="0.25">
      <c r="B117" s="50" t="s">
        <v>90</v>
      </c>
      <c r="C117" s="50">
        <v>319</v>
      </c>
      <c r="D117" s="51" t="s">
        <v>71</v>
      </c>
      <c r="E117" s="52"/>
    </row>
    <row r="118" spans="2:5" x14ac:dyDescent="0.25">
      <c r="B118" s="50" t="s">
        <v>90</v>
      </c>
      <c r="C118" s="50">
        <v>358</v>
      </c>
      <c r="D118" s="51" t="s">
        <v>72</v>
      </c>
      <c r="E118" s="52"/>
    </row>
    <row r="119" spans="2:5" x14ac:dyDescent="0.25">
      <c r="B119" s="50" t="s">
        <v>90</v>
      </c>
      <c r="C119" s="50">
        <v>505</v>
      </c>
      <c r="D119" s="51" t="s">
        <v>72</v>
      </c>
      <c r="E119" s="52"/>
    </row>
    <row r="120" spans="2:5" x14ac:dyDescent="0.25">
      <c r="B120" s="50" t="s">
        <v>90</v>
      </c>
      <c r="C120" s="50">
        <v>541</v>
      </c>
      <c r="D120" s="51" t="s">
        <v>72</v>
      </c>
      <c r="E120" s="52"/>
    </row>
    <row r="121" spans="2:5" x14ac:dyDescent="0.25">
      <c r="B121" s="50" t="s">
        <v>90</v>
      </c>
      <c r="C121" s="50">
        <v>456</v>
      </c>
      <c r="D121" s="51" t="s">
        <v>72</v>
      </c>
      <c r="E121" s="52"/>
    </row>
    <row r="122" spans="2:5" x14ac:dyDescent="0.25">
      <c r="B122" s="50" t="s">
        <v>90</v>
      </c>
      <c r="C122" s="50">
        <v>531</v>
      </c>
      <c r="D122" s="51" t="s">
        <v>72</v>
      </c>
      <c r="E122" s="52"/>
    </row>
    <row r="123" spans="2:5" x14ac:dyDescent="0.25">
      <c r="B123" s="50" t="s">
        <v>90</v>
      </c>
      <c r="C123" s="50">
        <v>406</v>
      </c>
      <c r="D123" s="51" t="s">
        <v>72</v>
      </c>
      <c r="E123" s="52"/>
    </row>
    <row r="124" spans="2:5" x14ac:dyDescent="0.25">
      <c r="B124" s="50" t="s">
        <v>90</v>
      </c>
      <c r="C124" s="50">
        <v>436</v>
      </c>
      <c r="D124" s="51" t="s">
        <v>72</v>
      </c>
      <c r="E124" s="52"/>
    </row>
    <row r="125" spans="2:5" x14ac:dyDescent="0.25">
      <c r="B125" s="50" t="s">
        <v>90</v>
      </c>
      <c r="C125" s="50">
        <v>422</v>
      </c>
      <c r="D125" s="51" t="s">
        <v>72</v>
      </c>
      <c r="E125" s="52"/>
    </row>
    <row r="126" spans="2:5" x14ac:dyDescent="0.25">
      <c r="B126" s="50" t="s">
        <v>90</v>
      </c>
      <c r="C126" s="50">
        <v>481</v>
      </c>
      <c r="D126" s="51" t="s">
        <v>72</v>
      </c>
      <c r="E126" s="52"/>
    </row>
    <row r="127" spans="2:5" x14ac:dyDescent="0.25">
      <c r="B127" s="50" t="s">
        <v>90</v>
      </c>
      <c r="C127" s="50">
        <v>537</v>
      </c>
      <c r="D127" s="51" t="s">
        <v>72</v>
      </c>
      <c r="E127" s="52"/>
    </row>
    <row r="128" spans="2:5" x14ac:dyDescent="0.25">
      <c r="B128" s="50" t="s">
        <v>90</v>
      </c>
      <c r="C128" s="50">
        <v>465</v>
      </c>
      <c r="D128" s="51" t="s">
        <v>72</v>
      </c>
      <c r="E128" s="52"/>
    </row>
    <row r="129" spans="2:5" x14ac:dyDescent="0.25">
      <c r="B129" s="50" t="s">
        <v>90</v>
      </c>
      <c r="C129" s="50">
        <v>507</v>
      </c>
      <c r="D129" s="51" t="s">
        <v>72</v>
      </c>
      <c r="E129" s="52"/>
    </row>
    <row r="130" spans="2:5" x14ac:dyDescent="0.25">
      <c r="B130" s="50" t="s">
        <v>90</v>
      </c>
      <c r="C130" s="50">
        <v>305</v>
      </c>
      <c r="D130" s="51" t="s">
        <v>72</v>
      </c>
      <c r="E130" s="52"/>
    </row>
    <row r="131" spans="2:5" x14ac:dyDescent="0.25">
      <c r="B131" s="50" t="s">
        <v>90</v>
      </c>
      <c r="C131" s="50">
        <v>491</v>
      </c>
      <c r="D131" s="51" t="s">
        <v>72</v>
      </c>
      <c r="E131" s="52"/>
    </row>
    <row r="132" spans="2:5" x14ac:dyDescent="0.25">
      <c r="B132" s="50" t="s">
        <v>90</v>
      </c>
      <c r="C132" s="50">
        <v>492</v>
      </c>
      <c r="D132" s="51" t="s">
        <v>72</v>
      </c>
      <c r="E132" s="52"/>
    </row>
    <row r="133" spans="2:5" x14ac:dyDescent="0.25">
      <c r="B133" s="50" t="s">
        <v>90</v>
      </c>
      <c r="C133" s="50">
        <v>540</v>
      </c>
      <c r="D133" s="51" t="s">
        <v>72</v>
      </c>
      <c r="E133" s="52"/>
    </row>
    <row r="134" spans="2:5" x14ac:dyDescent="0.25">
      <c r="B134" s="50" t="s">
        <v>90</v>
      </c>
      <c r="C134" s="50">
        <v>516</v>
      </c>
      <c r="D134" s="51" t="s">
        <v>72</v>
      </c>
      <c r="E134" s="52"/>
    </row>
    <row r="135" spans="2:5" x14ac:dyDescent="0.25">
      <c r="B135" s="50" t="s">
        <v>90</v>
      </c>
      <c r="C135" s="50">
        <v>502</v>
      </c>
      <c r="D135" s="51" t="s">
        <v>72</v>
      </c>
      <c r="E135" s="52"/>
    </row>
    <row r="136" spans="2:5" x14ac:dyDescent="0.25">
      <c r="B136" s="50" t="s">
        <v>90</v>
      </c>
      <c r="C136" s="50">
        <v>475</v>
      </c>
      <c r="D136" s="51" t="s">
        <v>72</v>
      </c>
      <c r="E136" s="52"/>
    </row>
    <row r="137" spans="2:5" x14ac:dyDescent="0.25">
      <c r="B137" s="50" t="s">
        <v>90</v>
      </c>
      <c r="C137" s="50">
        <v>484</v>
      </c>
      <c r="D137" s="51" t="s">
        <v>72</v>
      </c>
      <c r="E137" s="52"/>
    </row>
    <row r="138" spans="2:5" x14ac:dyDescent="0.25">
      <c r="B138" s="50" t="s">
        <v>90</v>
      </c>
      <c r="C138" s="50">
        <v>536</v>
      </c>
      <c r="D138" s="51" t="s">
        <v>73</v>
      </c>
      <c r="E138" s="52"/>
    </row>
    <row r="139" spans="2:5" x14ac:dyDescent="0.25">
      <c r="B139" s="50" t="s">
        <v>90</v>
      </c>
      <c r="C139" s="50">
        <v>347</v>
      </c>
      <c r="D139" s="51" t="s">
        <v>73</v>
      </c>
      <c r="E139" s="52"/>
    </row>
    <row r="140" spans="2:5" x14ac:dyDescent="0.25">
      <c r="B140" s="50" t="s">
        <v>90</v>
      </c>
      <c r="C140" s="50">
        <v>451</v>
      </c>
      <c r="D140" s="51" t="s">
        <v>73</v>
      </c>
      <c r="E140" s="52"/>
    </row>
    <row r="141" spans="2:5" x14ac:dyDescent="0.25">
      <c r="B141" s="50" t="s">
        <v>90</v>
      </c>
      <c r="C141" s="50">
        <v>520</v>
      </c>
      <c r="D141" s="51" t="s">
        <v>73</v>
      </c>
      <c r="E141" s="52"/>
    </row>
    <row r="142" spans="2:5" x14ac:dyDescent="0.25">
      <c r="B142" s="50" t="s">
        <v>90</v>
      </c>
      <c r="C142" s="50">
        <v>539</v>
      </c>
      <c r="D142" s="51" t="s">
        <v>73</v>
      </c>
      <c r="E142" s="52"/>
    </row>
    <row r="143" spans="2:5" x14ac:dyDescent="0.25">
      <c r="B143" s="50" t="s">
        <v>91</v>
      </c>
      <c r="C143" s="50">
        <v>400</v>
      </c>
      <c r="D143" s="51" t="s">
        <v>67</v>
      </c>
    </row>
    <row r="144" spans="2:5" x14ac:dyDescent="0.25">
      <c r="B144" s="50" t="s">
        <v>91</v>
      </c>
      <c r="C144" s="50">
        <v>362</v>
      </c>
      <c r="D144" s="51" t="s">
        <v>68</v>
      </c>
    </row>
    <row r="145" spans="2:4" x14ac:dyDescent="0.25">
      <c r="B145" s="50" t="s">
        <v>91</v>
      </c>
      <c r="C145" s="50">
        <v>420</v>
      </c>
      <c r="D145" s="51" t="s">
        <v>68</v>
      </c>
    </row>
    <row r="146" spans="2:4" x14ac:dyDescent="0.25">
      <c r="B146" s="50" t="s">
        <v>91</v>
      </c>
      <c r="C146" s="50">
        <v>399</v>
      </c>
      <c r="D146" s="51" t="s">
        <v>68</v>
      </c>
    </row>
    <row r="147" spans="2:4" x14ac:dyDescent="0.25">
      <c r="B147" s="50" t="s">
        <v>91</v>
      </c>
      <c r="C147" s="50">
        <v>306</v>
      </c>
      <c r="D147" s="51" t="s">
        <v>68</v>
      </c>
    </row>
    <row r="148" spans="2:4" x14ac:dyDescent="0.25">
      <c r="B148" s="50" t="s">
        <v>91</v>
      </c>
      <c r="C148" s="50">
        <v>469</v>
      </c>
      <c r="D148" s="51" t="s">
        <v>68</v>
      </c>
    </row>
    <row r="149" spans="2:4" x14ac:dyDescent="0.25">
      <c r="B149" s="50" t="s">
        <v>91</v>
      </c>
      <c r="C149" s="50">
        <v>482</v>
      </c>
      <c r="D149" s="51" t="s">
        <v>69</v>
      </c>
    </row>
    <row r="150" spans="2:4" x14ac:dyDescent="0.25">
      <c r="B150" s="50" t="s">
        <v>91</v>
      </c>
      <c r="C150" s="50">
        <v>442</v>
      </c>
      <c r="D150" s="51" t="s">
        <v>69</v>
      </c>
    </row>
    <row r="151" spans="2:4" x14ac:dyDescent="0.25">
      <c r="B151" s="50" t="s">
        <v>91</v>
      </c>
      <c r="C151" s="50">
        <v>527</v>
      </c>
      <c r="D151" s="51" t="s">
        <v>69</v>
      </c>
    </row>
    <row r="152" spans="2:4" x14ac:dyDescent="0.25">
      <c r="B152" s="50" t="s">
        <v>91</v>
      </c>
      <c r="C152" s="50">
        <v>471</v>
      </c>
      <c r="D152" s="51" t="s">
        <v>69</v>
      </c>
    </row>
    <row r="153" spans="2:4" x14ac:dyDescent="0.25">
      <c r="B153" s="50" t="s">
        <v>91</v>
      </c>
      <c r="C153" s="50">
        <v>301</v>
      </c>
      <c r="D153" s="51" t="s">
        <v>69</v>
      </c>
    </row>
    <row r="154" spans="2:4" x14ac:dyDescent="0.25">
      <c r="B154" s="50" t="s">
        <v>91</v>
      </c>
      <c r="C154" s="50">
        <v>373</v>
      </c>
      <c r="D154" s="51" t="s">
        <v>69</v>
      </c>
    </row>
    <row r="155" spans="2:4" x14ac:dyDescent="0.25">
      <c r="B155" s="50" t="s">
        <v>91</v>
      </c>
      <c r="C155" s="50">
        <v>390</v>
      </c>
      <c r="D155" s="51" t="s">
        <v>70</v>
      </c>
    </row>
    <row r="156" spans="2:4" x14ac:dyDescent="0.25">
      <c r="B156" s="50" t="s">
        <v>91</v>
      </c>
      <c r="C156" s="50">
        <v>445</v>
      </c>
      <c r="D156" s="51" t="s">
        <v>70</v>
      </c>
    </row>
    <row r="157" spans="2:4" x14ac:dyDescent="0.25">
      <c r="B157" s="50" t="s">
        <v>91</v>
      </c>
      <c r="C157" s="50">
        <v>506</v>
      </c>
      <c r="D157" s="51" t="s">
        <v>70</v>
      </c>
    </row>
    <row r="158" spans="2:4" x14ac:dyDescent="0.25">
      <c r="B158" s="50" t="s">
        <v>91</v>
      </c>
      <c r="C158" s="50">
        <v>333</v>
      </c>
      <c r="D158" s="51" t="s">
        <v>70</v>
      </c>
    </row>
    <row r="159" spans="2:4" x14ac:dyDescent="0.25">
      <c r="B159" s="50" t="s">
        <v>91</v>
      </c>
      <c r="C159" s="50">
        <v>444</v>
      </c>
      <c r="D159" s="51" t="s">
        <v>70</v>
      </c>
    </row>
    <row r="160" spans="2:4" x14ac:dyDescent="0.25">
      <c r="B160" s="50" t="s">
        <v>91</v>
      </c>
      <c r="C160" s="50">
        <v>418</v>
      </c>
      <c r="D160" s="51" t="s">
        <v>70</v>
      </c>
    </row>
    <row r="161" spans="2:4" x14ac:dyDescent="0.25">
      <c r="B161" s="50" t="s">
        <v>91</v>
      </c>
      <c r="C161" s="50">
        <v>365</v>
      </c>
      <c r="D161" s="51" t="s">
        <v>70</v>
      </c>
    </row>
    <row r="162" spans="2:4" x14ac:dyDescent="0.25">
      <c r="B162" s="50" t="s">
        <v>91</v>
      </c>
      <c r="C162" s="50">
        <v>464</v>
      </c>
      <c r="D162" s="51" t="s">
        <v>70</v>
      </c>
    </row>
    <row r="163" spans="2:4" x14ac:dyDescent="0.25">
      <c r="B163" s="50" t="s">
        <v>91</v>
      </c>
      <c r="C163" s="50">
        <v>508</v>
      </c>
      <c r="D163" s="51" t="s">
        <v>70</v>
      </c>
    </row>
    <row r="164" spans="2:4" x14ac:dyDescent="0.25">
      <c r="B164" s="50" t="s">
        <v>91</v>
      </c>
      <c r="C164" s="50">
        <v>463</v>
      </c>
      <c r="D164" s="51" t="s">
        <v>70</v>
      </c>
    </row>
    <row r="165" spans="2:4" x14ac:dyDescent="0.25">
      <c r="B165" s="50" t="s">
        <v>91</v>
      </c>
      <c r="C165" s="50">
        <v>323</v>
      </c>
      <c r="D165" s="51" t="s">
        <v>70</v>
      </c>
    </row>
    <row r="166" spans="2:4" x14ac:dyDescent="0.25">
      <c r="B166" s="50" t="s">
        <v>91</v>
      </c>
      <c r="C166" s="50">
        <v>440</v>
      </c>
      <c r="D166" s="51" t="s">
        <v>70</v>
      </c>
    </row>
    <row r="167" spans="2:4" x14ac:dyDescent="0.25">
      <c r="B167" s="50" t="s">
        <v>91</v>
      </c>
      <c r="C167" s="50">
        <v>545</v>
      </c>
      <c r="D167" s="51" t="s">
        <v>70</v>
      </c>
    </row>
    <row r="168" spans="2:4" x14ac:dyDescent="0.25">
      <c r="B168" s="50" t="s">
        <v>91</v>
      </c>
      <c r="C168" s="50">
        <v>487</v>
      </c>
      <c r="D168" s="51" t="s">
        <v>70</v>
      </c>
    </row>
    <row r="169" spans="2:4" x14ac:dyDescent="0.25">
      <c r="B169" s="50" t="s">
        <v>91</v>
      </c>
      <c r="C169" s="50">
        <v>503</v>
      </c>
      <c r="D169" s="51" t="s">
        <v>70</v>
      </c>
    </row>
    <row r="170" spans="2:4" x14ac:dyDescent="0.25">
      <c r="B170" s="50" t="s">
        <v>91</v>
      </c>
      <c r="C170" s="50">
        <v>515</v>
      </c>
      <c r="D170" s="51" t="s">
        <v>70</v>
      </c>
    </row>
    <row r="171" spans="2:4" x14ac:dyDescent="0.25">
      <c r="B171" s="50" t="s">
        <v>91</v>
      </c>
      <c r="C171" s="50">
        <v>377</v>
      </c>
      <c r="D171" s="51" t="s">
        <v>70</v>
      </c>
    </row>
    <row r="172" spans="2:4" x14ac:dyDescent="0.25">
      <c r="B172" s="50" t="s">
        <v>91</v>
      </c>
      <c r="C172" s="50">
        <v>499</v>
      </c>
      <c r="D172" s="51" t="s">
        <v>70</v>
      </c>
    </row>
    <row r="173" spans="2:4" x14ac:dyDescent="0.25">
      <c r="B173" s="50" t="s">
        <v>91</v>
      </c>
      <c r="C173" s="50">
        <v>533</v>
      </c>
      <c r="D173" s="51" t="s">
        <v>70</v>
      </c>
    </row>
    <row r="174" spans="2:4" x14ac:dyDescent="0.25">
      <c r="B174" s="50" t="s">
        <v>91</v>
      </c>
      <c r="C174" s="50">
        <v>201</v>
      </c>
      <c r="D174" s="51" t="s">
        <v>70</v>
      </c>
    </row>
    <row r="175" spans="2:4" x14ac:dyDescent="0.25">
      <c r="B175" s="50" t="s">
        <v>91</v>
      </c>
      <c r="C175" s="50">
        <v>376</v>
      </c>
      <c r="D175" s="51" t="s">
        <v>70</v>
      </c>
    </row>
    <row r="176" spans="2:4" x14ac:dyDescent="0.25">
      <c r="B176" s="50" t="s">
        <v>91</v>
      </c>
      <c r="C176" s="50">
        <v>521</v>
      </c>
      <c r="D176" s="51" t="s">
        <v>70</v>
      </c>
    </row>
    <row r="177" spans="2:4" x14ac:dyDescent="0.25">
      <c r="B177" s="50" t="s">
        <v>91</v>
      </c>
      <c r="C177" s="50">
        <v>532</v>
      </c>
      <c r="D177" s="51" t="s">
        <v>70</v>
      </c>
    </row>
    <row r="178" spans="2:4" x14ac:dyDescent="0.25">
      <c r="B178" s="50" t="s">
        <v>91</v>
      </c>
      <c r="C178" s="50">
        <v>489</v>
      </c>
      <c r="D178" s="51" t="s">
        <v>70</v>
      </c>
    </row>
    <row r="179" spans="2:4" x14ac:dyDescent="0.25">
      <c r="B179" s="50" t="s">
        <v>91</v>
      </c>
      <c r="C179" s="50">
        <v>385</v>
      </c>
      <c r="D179" s="51" t="s">
        <v>70</v>
      </c>
    </row>
    <row r="180" spans="2:4" x14ac:dyDescent="0.25">
      <c r="B180" s="50" t="s">
        <v>91</v>
      </c>
      <c r="C180" s="50">
        <v>517</v>
      </c>
      <c r="D180" s="51" t="s">
        <v>70</v>
      </c>
    </row>
    <row r="181" spans="2:4" x14ac:dyDescent="0.25">
      <c r="B181" s="50" t="s">
        <v>91</v>
      </c>
      <c r="C181" s="50">
        <v>495</v>
      </c>
      <c r="D181" s="51" t="s">
        <v>70</v>
      </c>
    </row>
    <row r="182" spans="2:4" x14ac:dyDescent="0.25">
      <c r="B182" s="50" t="s">
        <v>91</v>
      </c>
      <c r="C182" s="50">
        <v>514</v>
      </c>
      <c r="D182" s="51" t="s">
        <v>70</v>
      </c>
    </row>
    <row r="183" spans="2:4" x14ac:dyDescent="0.25">
      <c r="B183" s="50" t="s">
        <v>91</v>
      </c>
      <c r="C183" s="50">
        <v>500</v>
      </c>
      <c r="D183" s="51" t="s">
        <v>70</v>
      </c>
    </row>
    <row r="184" spans="2:4" x14ac:dyDescent="0.25">
      <c r="B184" s="50" t="s">
        <v>91</v>
      </c>
      <c r="C184" s="50">
        <v>416</v>
      </c>
      <c r="D184" s="51" t="s">
        <v>70</v>
      </c>
    </row>
    <row r="185" spans="2:4" x14ac:dyDescent="0.25">
      <c r="B185" s="50" t="s">
        <v>91</v>
      </c>
      <c r="C185" s="50">
        <v>519</v>
      </c>
      <c r="D185" s="51" t="s">
        <v>70</v>
      </c>
    </row>
    <row r="186" spans="2:4" x14ac:dyDescent="0.25">
      <c r="B186" s="50" t="s">
        <v>91</v>
      </c>
      <c r="C186" s="50">
        <v>314</v>
      </c>
      <c r="D186" s="51" t="s">
        <v>70</v>
      </c>
    </row>
    <row r="187" spans="2:4" x14ac:dyDescent="0.25">
      <c r="B187" s="50" t="s">
        <v>91</v>
      </c>
      <c r="C187" s="50">
        <v>546</v>
      </c>
      <c r="D187" s="51" t="s">
        <v>70</v>
      </c>
    </row>
    <row r="188" spans="2:4" x14ac:dyDescent="0.25">
      <c r="B188" s="50" t="s">
        <v>91</v>
      </c>
      <c r="C188" s="50">
        <v>448</v>
      </c>
      <c r="D188" s="51" t="s">
        <v>70</v>
      </c>
    </row>
    <row r="189" spans="2:4" x14ac:dyDescent="0.25">
      <c r="B189" s="50" t="s">
        <v>91</v>
      </c>
      <c r="C189" s="50">
        <v>447</v>
      </c>
      <c r="D189" s="51" t="s">
        <v>70</v>
      </c>
    </row>
    <row r="190" spans="2:4" x14ac:dyDescent="0.25">
      <c r="B190" s="50" t="s">
        <v>91</v>
      </c>
      <c r="C190" s="50">
        <v>472</v>
      </c>
      <c r="D190" s="51" t="s">
        <v>70</v>
      </c>
    </row>
    <row r="191" spans="2:4" x14ac:dyDescent="0.25">
      <c r="B191" s="50" t="s">
        <v>91</v>
      </c>
      <c r="C191" s="50">
        <v>438</v>
      </c>
      <c r="D191" s="51" t="s">
        <v>70</v>
      </c>
    </row>
    <row r="192" spans="2:4" x14ac:dyDescent="0.25">
      <c r="B192" s="50" t="s">
        <v>91</v>
      </c>
      <c r="C192" s="50">
        <v>509</v>
      </c>
      <c r="D192" s="51" t="s">
        <v>70</v>
      </c>
    </row>
    <row r="193" spans="2:4" x14ac:dyDescent="0.25">
      <c r="B193" s="50" t="s">
        <v>91</v>
      </c>
      <c r="C193" s="50">
        <v>496</v>
      </c>
      <c r="D193" s="51" t="s">
        <v>70</v>
      </c>
    </row>
    <row r="194" spans="2:4" x14ac:dyDescent="0.25">
      <c r="B194" s="50" t="s">
        <v>91</v>
      </c>
      <c r="C194" s="50">
        <v>403</v>
      </c>
      <c r="D194" s="51" t="s">
        <v>70</v>
      </c>
    </row>
    <row r="195" spans="2:4" x14ac:dyDescent="0.25">
      <c r="B195" s="50" t="s">
        <v>91</v>
      </c>
      <c r="C195" s="50">
        <v>510</v>
      </c>
      <c r="D195" s="51" t="s">
        <v>70</v>
      </c>
    </row>
    <row r="196" spans="2:4" x14ac:dyDescent="0.25">
      <c r="B196" s="50" t="s">
        <v>91</v>
      </c>
      <c r="C196" s="50">
        <v>511</v>
      </c>
      <c r="D196" s="51" t="s">
        <v>70</v>
      </c>
    </row>
    <row r="197" spans="2:4" x14ac:dyDescent="0.25">
      <c r="B197" s="50" t="s">
        <v>91</v>
      </c>
      <c r="C197" s="50">
        <v>455</v>
      </c>
      <c r="D197" s="51" t="s">
        <v>70</v>
      </c>
    </row>
    <row r="198" spans="2:4" x14ac:dyDescent="0.25">
      <c r="B198" s="50" t="s">
        <v>91</v>
      </c>
      <c r="C198" s="50">
        <v>494</v>
      </c>
      <c r="D198" s="51" t="s">
        <v>70</v>
      </c>
    </row>
    <row r="199" spans="2:4" x14ac:dyDescent="0.25">
      <c r="B199" s="50" t="s">
        <v>91</v>
      </c>
      <c r="C199" s="50">
        <v>424</v>
      </c>
      <c r="D199" s="51" t="s">
        <v>70</v>
      </c>
    </row>
    <row r="200" spans="2:4" x14ac:dyDescent="0.25">
      <c r="B200" s="50" t="s">
        <v>91</v>
      </c>
      <c r="C200" s="50">
        <v>479</v>
      </c>
      <c r="D200" s="51" t="s">
        <v>71</v>
      </c>
    </row>
    <row r="201" spans="2:4" x14ac:dyDescent="0.25">
      <c r="B201" s="50" t="s">
        <v>91</v>
      </c>
      <c r="C201" s="50">
        <v>417</v>
      </c>
      <c r="D201" s="51" t="s">
        <v>71</v>
      </c>
    </row>
    <row r="202" spans="2:4" x14ac:dyDescent="0.25">
      <c r="B202" s="50" t="s">
        <v>91</v>
      </c>
      <c r="C202" s="50">
        <v>462</v>
      </c>
      <c r="D202" s="51" t="s">
        <v>71</v>
      </c>
    </row>
    <row r="203" spans="2:4" x14ac:dyDescent="0.25">
      <c r="B203" s="50" t="s">
        <v>91</v>
      </c>
      <c r="C203" s="50">
        <v>474</v>
      </c>
      <c r="D203" s="51" t="s">
        <v>71</v>
      </c>
    </row>
    <row r="204" spans="2:4" x14ac:dyDescent="0.25">
      <c r="B204" s="50" t="s">
        <v>91</v>
      </c>
      <c r="C204" s="50">
        <v>450</v>
      </c>
      <c r="D204" s="51" t="s">
        <v>71</v>
      </c>
    </row>
    <row r="205" spans="2:4" x14ac:dyDescent="0.25">
      <c r="B205" s="50" t="s">
        <v>91</v>
      </c>
      <c r="C205" s="50">
        <v>468</v>
      </c>
      <c r="D205" s="51" t="s">
        <v>71</v>
      </c>
    </row>
    <row r="206" spans="2:4" x14ac:dyDescent="0.25">
      <c r="B206" s="50" t="s">
        <v>91</v>
      </c>
      <c r="C206" s="50">
        <v>361</v>
      </c>
      <c r="D206" s="51" t="s">
        <v>71</v>
      </c>
    </row>
    <row r="207" spans="2:4" x14ac:dyDescent="0.25">
      <c r="B207" s="50" t="s">
        <v>91</v>
      </c>
      <c r="C207" s="50">
        <v>544</v>
      </c>
      <c r="D207" s="51" t="s">
        <v>71</v>
      </c>
    </row>
    <row r="208" spans="2:4" x14ac:dyDescent="0.25">
      <c r="B208" s="50" t="s">
        <v>91</v>
      </c>
      <c r="C208" s="50">
        <v>452</v>
      </c>
      <c r="D208" s="51" t="s">
        <v>71</v>
      </c>
    </row>
    <row r="209" spans="2:4" x14ac:dyDescent="0.25">
      <c r="B209" s="50" t="s">
        <v>91</v>
      </c>
      <c r="C209" s="50">
        <v>433</v>
      </c>
      <c r="D209" s="51" t="s">
        <v>71</v>
      </c>
    </row>
    <row r="210" spans="2:4" x14ac:dyDescent="0.25">
      <c r="B210" s="50" t="s">
        <v>91</v>
      </c>
      <c r="C210" s="50">
        <v>313</v>
      </c>
      <c r="D210" s="51" t="s">
        <v>71</v>
      </c>
    </row>
    <row r="211" spans="2:4" x14ac:dyDescent="0.25">
      <c r="B211" s="50" t="s">
        <v>91</v>
      </c>
      <c r="C211" s="50">
        <v>423</v>
      </c>
      <c r="D211" s="51" t="s">
        <v>71</v>
      </c>
    </row>
    <row r="212" spans="2:4" x14ac:dyDescent="0.25">
      <c r="B212" s="50" t="s">
        <v>91</v>
      </c>
      <c r="C212" s="50">
        <v>322</v>
      </c>
      <c r="D212" s="51" t="s">
        <v>71</v>
      </c>
    </row>
    <row r="213" spans="2:4" x14ac:dyDescent="0.25">
      <c r="B213" s="50" t="s">
        <v>91</v>
      </c>
      <c r="C213" s="50">
        <v>522</v>
      </c>
      <c r="D213" s="51" t="s">
        <v>71</v>
      </c>
    </row>
    <row r="214" spans="2:4" x14ac:dyDescent="0.25">
      <c r="B214" s="50" t="s">
        <v>91</v>
      </c>
      <c r="C214" s="50">
        <v>513</v>
      </c>
      <c r="D214" s="51" t="s">
        <v>71</v>
      </c>
    </row>
    <row r="215" spans="2:4" x14ac:dyDescent="0.25">
      <c r="B215" s="50" t="s">
        <v>91</v>
      </c>
      <c r="C215" s="50">
        <v>528</v>
      </c>
      <c r="D215" s="51" t="s">
        <v>71</v>
      </c>
    </row>
    <row r="216" spans="2:4" x14ac:dyDescent="0.25">
      <c r="B216" s="50" t="s">
        <v>91</v>
      </c>
      <c r="C216" s="50">
        <v>402</v>
      </c>
      <c r="D216" s="51" t="s">
        <v>71</v>
      </c>
    </row>
    <row r="217" spans="2:4" x14ac:dyDescent="0.25">
      <c r="B217" s="50" t="s">
        <v>91</v>
      </c>
      <c r="C217" s="50">
        <v>421</v>
      </c>
      <c r="D217" s="51" t="s">
        <v>71</v>
      </c>
    </row>
    <row r="218" spans="2:4" x14ac:dyDescent="0.25">
      <c r="B218" s="50" t="s">
        <v>91</v>
      </c>
      <c r="C218" s="50">
        <v>328</v>
      </c>
      <c r="D218" s="51" t="s">
        <v>71</v>
      </c>
    </row>
    <row r="219" spans="2:4" x14ac:dyDescent="0.25">
      <c r="B219" s="50" t="s">
        <v>91</v>
      </c>
      <c r="C219" s="50">
        <v>523</v>
      </c>
      <c r="D219" s="51" t="s">
        <v>71</v>
      </c>
    </row>
    <row r="220" spans="2:4" x14ac:dyDescent="0.25">
      <c r="B220" s="50" t="s">
        <v>91</v>
      </c>
      <c r="C220" s="50">
        <v>478</v>
      </c>
      <c r="D220" s="51" t="s">
        <v>71</v>
      </c>
    </row>
    <row r="221" spans="2:4" x14ac:dyDescent="0.25">
      <c r="B221" s="50" t="s">
        <v>91</v>
      </c>
      <c r="C221" s="50">
        <v>392</v>
      </c>
      <c r="D221" s="51" t="s">
        <v>71</v>
      </c>
    </row>
    <row r="222" spans="2:4" x14ac:dyDescent="0.25">
      <c r="B222" s="50" t="s">
        <v>91</v>
      </c>
      <c r="C222" s="50">
        <v>370</v>
      </c>
      <c r="D222" s="51" t="s">
        <v>71</v>
      </c>
    </row>
    <row r="223" spans="2:4" x14ac:dyDescent="0.25">
      <c r="B223" s="50" t="s">
        <v>91</v>
      </c>
      <c r="C223" s="50">
        <v>415</v>
      </c>
      <c r="D223" s="51" t="s">
        <v>71</v>
      </c>
    </row>
    <row r="224" spans="2:4" x14ac:dyDescent="0.25">
      <c r="B224" s="50" t="s">
        <v>91</v>
      </c>
      <c r="C224" s="50">
        <v>308</v>
      </c>
      <c r="D224" s="51" t="s">
        <v>71</v>
      </c>
    </row>
    <row r="225" spans="2:4" x14ac:dyDescent="0.25">
      <c r="B225" s="50" t="s">
        <v>91</v>
      </c>
      <c r="C225" s="50">
        <v>393</v>
      </c>
      <c r="D225" s="51" t="s">
        <v>71</v>
      </c>
    </row>
    <row r="226" spans="2:4" x14ac:dyDescent="0.25">
      <c r="B226" s="50" t="s">
        <v>91</v>
      </c>
      <c r="C226" s="50">
        <v>543</v>
      </c>
      <c r="D226" s="51" t="s">
        <v>71</v>
      </c>
    </row>
    <row r="227" spans="2:4" x14ac:dyDescent="0.25">
      <c r="B227" s="50" t="s">
        <v>91</v>
      </c>
      <c r="C227" s="50">
        <v>413</v>
      </c>
      <c r="D227" s="51" t="s">
        <v>71</v>
      </c>
    </row>
    <row r="228" spans="2:4" x14ac:dyDescent="0.25">
      <c r="B228" s="50" t="s">
        <v>91</v>
      </c>
      <c r="C228" s="50">
        <v>504</v>
      </c>
      <c r="D228" s="51" t="s">
        <v>71</v>
      </c>
    </row>
    <row r="229" spans="2:4" x14ac:dyDescent="0.25">
      <c r="B229" s="50" t="s">
        <v>91</v>
      </c>
      <c r="C229" s="50">
        <v>429</v>
      </c>
      <c r="D229" s="51" t="s">
        <v>71</v>
      </c>
    </row>
    <row r="230" spans="2:4" x14ac:dyDescent="0.25">
      <c r="B230" s="50" t="s">
        <v>91</v>
      </c>
      <c r="C230" s="50">
        <v>488</v>
      </c>
      <c r="D230" s="51" t="s">
        <v>71</v>
      </c>
    </row>
    <row r="231" spans="2:4" x14ac:dyDescent="0.25">
      <c r="B231" s="50" t="s">
        <v>91</v>
      </c>
      <c r="C231" s="50">
        <v>490</v>
      </c>
      <c r="D231" s="51" t="s">
        <v>71</v>
      </c>
    </row>
    <row r="232" spans="2:4" x14ac:dyDescent="0.25">
      <c r="B232" s="50" t="s">
        <v>91</v>
      </c>
      <c r="C232" s="50">
        <v>326</v>
      </c>
      <c r="D232" s="51" t="s">
        <v>71</v>
      </c>
    </row>
    <row r="233" spans="2:4" x14ac:dyDescent="0.25">
      <c r="B233" s="50" t="s">
        <v>91</v>
      </c>
      <c r="C233" s="50">
        <v>477</v>
      </c>
      <c r="D233" s="51" t="s">
        <v>71</v>
      </c>
    </row>
    <row r="234" spans="2:4" x14ac:dyDescent="0.25">
      <c r="B234" s="50" t="s">
        <v>91</v>
      </c>
      <c r="C234" s="50">
        <v>405</v>
      </c>
      <c r="D234" s="51" t="s">
        <v>71</v>
      </c>
    </row>
    <row r="235" spans="2:4" x14ac:dyDescent="0.25">
      <c r="B235" s="50" t="s">
        <v>91</v>
      </c>
      <c r="C235" s="50">
        <v>428</v>
      </c>
      <c r="D235" s="51" t="s">
        <v>71</v>
      </c>
    </row>
    <row r="236" spans="2:4" x14ac:dyDescent="0.25">
      <c r="B236" s="50" t="s">
        <v>91</v>
      </c>
      <c r="C236" s="50">
        <v>304</v>
      </c>
      <c r="D236" s="51" t="s">
        <v>71</v>
      </c>
    </row>
    <row r="237" spans="2:4" x14ac:dyDescent="0.25">
      <c r="B237" s="50" t="s">
        <v>91</v>
      </c>
      <c r="C237" s="50">
        <v>541</v>
      </c>
      <c r="D237" s="51" t="s">
        <v>71</v>
      </c>
    </row>
    <row r="238" spans="2:4" x14ac:dyDescent="0.25">
      <c r="B238" s="50" t="s">
        <v>91</v>
      </c>
      <c r="C238" s="50">
        <v>526</v>
      </c>
      <c r="D238" s="51" t="s">
        <v>71</v>
      </c>
    </row>
    <row r="239" spans="2:4" x14ac:dyDescent="0.25">
      <c r="B239" s="50" t="s">
        <v>91</v>
      </c>
      <c r="C239" s="50">
        <v>454</v>
      </c>
      <c r="D239" s="51" t="s">
        <v>71</v>
      </c>
    </row>
    <row r="240" spans="2:4" x14ac:dyDescent="0.25">
      <c r="B240" s="50" t="s">
        <v>91</v>
      </c>
      <c r="C240" s="50">
        <v>518</v>
      </c>
      <c r="D240" s="51" t="s">
        <v>71</v>
      </c>
    </row>
    <row r="241" spans="2:4" x14ac:dyDescent="0.25">
      <c r="B241" s="50" t="s">
        <v>91</v>
      </c>
      <c r="C241" s="50">
        <v>538</v>
      </c>
      <c r="D241" s="51" t="s">
        <v>71</v>
      </c>
    </row>
    <row r="242" spans="2:4" x14ac:dyDescent="0.25">
      <c r="B242" s="50" t="s">
        <v>91</v>
      </c>
      <c r="C242" s="50">
        <v>331</v>
      </c>
      <c r="D242" s="51" t="s">
        <v>71</v>
      </c>
    </row>
    <row r="243" spans="2:4" x14ac:dyDescent="0.25">
      <c r="B243" s="50" t="s">
        <v>91</v>
      </c>
      <c r="C243" s="50">
        <v>436</v>
      </c>
      <c r="D243" s="51" t="s">
        <v>71</v>
      </c>
    </row>
    <row r="244" spans="2:4" x14ac:dyDescent="0.25">
      <c r="B244" s="50" t="s">
        <v>91</v>
      </c>
      <c r="C244" s="50">
        <v>481</v>
      </c>
      <c r="D244" s="51" t="s">
        <v>71</v>
      </c>
    </row>
    <row r="245" spans="2:4" x14ac:dyDescent="0.25">
      <c r="B245" s="50" t="s">
        <v>91</v>
      </c>
      <c r="C245" s="50">
        <v>497</v>
      </c>
      <c r="D245" s="51" t="s">
        <v>71</v>
      </c>
    </row>
    <row r="246" spans="2:4" x14ac:dyDescent="0.25">
      <c r="B246" s="50" t="s">
        <v>91</v>
      </c>
      <c r="C246" s="50">
        <v>334</v>
      </c>
      <c r="D246" s="51" t="s">
        <v>71</v>
      </c>
    </row>
    <row r="247" spans="2:4" x14ac:dyDescent="0.25">
      <c r="B247" s="50" t="s">
        <v>91</v>
      </c>
      <c r="C247" s="50">
        <v>356</v>
      </c>
      <c r="D247" s="51" t="s">
        <v>71</v>
      </c>
    </row>
    <row r="248" spans="2:4" x14ac:dyDescent="0.25">
      <c r="B248" s="50" t="s">
        <v>91</v>
      </c>
      <c r="C248" s="50">
        <v>321</v>
      </c>
      <c r="D248" s="51" t="s">
        <v>71</v>
      </c>
    </row>
    <row r="249" spans="2:4" x14ac:dyDescent="0.25">
      <c r="B249" s="50" t="s">
        <v>91</v>
      </c>
      <c r="C249" s="50">
        <v>332</v>
      </c>
      <c r="D249" s="51" t="s">
        <v>71</v>
      </c>
    </row>
    <row r="250" spans="2:4" x14ac:dyDescent="0.25">
      <c r="B250" s="50" t="s">
        <v>91</v>
      </c>
      <c r="C250" s="50">
        <v>501</v>
      </c>
      <c r="D250" s="51" t="s">
        <v>71</v>
      </c>
    </row>
    <row r="251" spans="2:4" x14ac:dyDescent="0.25">
      <c r="B251" s="50" t="s">
        <v>91</v>
      </c>
      <c r="C251" s="50">
        <v>493</v>
      </c>
      <c r="D251" s="51" t="s">
        <v>71</v>
      </c>
    </row>
    <row r="252" spans="2:4" x14ac:dyDescent="0.25">
      <c r="B252" s="50" t="s">
        <v>91</v>
      </c>
      <c r="C252" s="50">
        <v>529</v>
      </c>
      <c r="D252" s="51" t="s">
        <v>71</v>
      </c>
    </row>
    <row r="253" spans="2:4" x14ac:dyDescent="0.25">
      <c r="B253" s="50" t="s">
        <v>91</v>
      </c>
      <c r="C253" s="50">
        <v>467</v>
      </c>
      <c r="D253" s="51" t="s">
        <v>71</v>
      </c>
    </row>
    <row r="254" spans="2:4" x14ac:dyDescent="0.25">
      <c r="B254" s="50" t="s">
        <v>91</v>
      </c>
      <c r="C254" s="50">
        <v>507</v>
      </c>
      <c r="D254" s="51" t="s">
        <v>71</v>
      </c>
    </row>
    <row r="255" spans="2:4" x14ac:dyDescent="0.25">
      <c r="B255" s="50" t="s">
        <v>91</v>
      </c>
      <c r="C255" s="50">
        <v>335</v>
      </c>
      <c r="D255" s="51" t="s">
        <v>71</v>
      </c>
    </row>
    <row r="256" spans="2:4" x14ac:dyDescent="0.25">
      <c r="B256" s="50" t="s">
        <v>91</v>
      </c>
      <c r="C256" s="50">
        <v>397</v>
      </c>
      <c r="D256" s="51" t="s">
        <v>71</v>
      </c>
    </row>
    <row r="257" spans="2:4" x14ac:dyDescent="0.25">
      <c r="B257" s="50" t="s">
        <v>91</v>
      </c>
      <c r="C257" s="50">
        <v>516</v>
      </c>
      <c r="D257" s="51" t="s">
        <v>72</v>
      </c>
    </row>
    <row r="258" spans="2:4" x14ac:dyDescent="0.25">
      <c r="B258" s="50" t="s">
        <v>91</v>
      </c>
      <c r="C258" s="50">
        <v>456</v>
      </c>
      <c r="D258" s="51" t="s">
        <v>72</v>
      </c>
    </row>
    <row r="259" spans="2:4" x14ac:dyDescent="0.25">
      <c r="B259" s="50" t="s">
        <v>91</v>
      </c>
      <c r="C259" s="50">
        <v>358</v>
      </c>
      <c r="D259" s="51" t="s">
        <v>72</v>
      </c>
    </row>
    <row r="260" spans="2:4" x14ac:dyDescent="0.25">
      <c r="B260" s="50" t="s">
        <v>91</v>
      </c>
      <c r="C260" s="50">
        <v>432</v>
      </c>
      <c r="D260" s="51" t="s">
        <v>72</v>
      </c>
    </row>
    <row r="261" spans="2:4" x14ac:dyDescent="0.25">
      <c r="B261" s="50" t="s">
        <v>91</v>
      </c>
      <c r="C261" s="50">
        <v>406</v>
      </c>
      <c r="D261" s="51" t="s">
        <v>72</v>
      </c>
    </row>
    <row r="262" spans="2:4" x14ac:dyDescent="0.25">
      <c r="B262" s="50" t="s">
        <v>91</v>
      </c>
      <c r="C262" s="50">
        <v>422</v>
      </c>
      <c r="D262" s="51" t="s">
        <v>72</v>
      </c>
    </row>
    <row r="263" spans="2:4" x14ac:dyDescent="0.25">
      <c r="B263" s="50" t="s">
        <v>91</v>
      </c>
      <c r="C263" s="50">
        <v>531</v>
      </c>
      <c r="D263" s="51" t="s">
        <v>72</v>
      </c>
    </row>
    <row r="264" spans="2:4" x14ac:dyDescent="0.25">
      <c r="B264" s="50" t="s">
        <v>91</v>
      </c>
      <c r="C264" s="50">
        <v>484</v>
      </c>
      <c r="D264" s="51" t="s">
        <v>72</v>
      </c>
    </row>
    <row r="265" spans="2:4" x14ac:dyDescent="0.25">
      <c r="B265" s="50" t="s">
        <v>91</v>
      </c>
      <c r="C265" s="50">
        <v>537</v>
      </c>
      <c r="D265" s="51" t="s">
        <v>72</v>
      </c>
    </row>
    <row r="266" spans="2:4" x14ac:dyDescent="0.25">
      <c r="B266" s="50" t="s">
        <v>91</v>
      </c>
      <c r="C266" s="50">
        <v>540</v>
      </c>
      <c r="D266" s="51" t="s">
        <v>72</v>
      </c>
    </row>
    <row r="267" spans="2:4" x14ac:dyDescent="0.25">
      <c r="B267" s="50" t="s">
        <v>91</v>
      </c>
      <c r="C267" s="50">
        <v>465</v>
      </c>
      <c r="D267" s="51" t="s">
        <v>72</v>
      </c>
    </row>
    <row r="268" spans="2:4" x14ac:dyDescent="0.25">
      <c r="B268" s="50" t="s">
        <v>91</v>
      </c>
      <c r="C268" s="50">
        <v>319</v>
      </c>
      <c r="D268" s="51" t="s">
        <v>72</v>
      </c>
    </row>
    <row r="269" spans="2:4" x14ac:dyDescent="0.25">
      <c r="B269" s="50" t="s">
        <v>91</v>
      </c>
      <c r="C269" s="50">
        <v>317</v>
      </c>
      <c r="D269" s="51" t="s">
        <v>72</v>
      </c>
    </row>
    <row r="270" spans="2:4" x14ac:dyDescent="0.25">
      <c r="B270" s="50" t="s">
        <v>91</v>
      </c>
      <c r="C270" s="50">
        <v>475</v>
      </c>
      <c r="D270" s="51" t="s">
        <v>72</v>
      </c>
    </row>
    <row r="271" spans="2:4" x14ac:dyDescent="0.25">
      <c r="B271" s="50" t="s">
        <v>91</v>
      </c>
      <c r="C271" s="50">
        <v>536</v>
      </c>
      <c r="D271" s="51" t="s">
        <v>72</v>
      </c>
    </row>
    <row r="272" spans="2:4" x14ac:dyDescent="0.25">
      <c r="B272" s="50" t="s">
        <v>91</v>
      </c>
      <c r="C272" s="50">
        <v>492</v>
      </c>
      <c r="D272" s="51" t="s">
        <v>72</v>
      </c>
    </row>
    <row r="273" spans="2:4" x14ac:dyDescent="0.25">
      <c r="B273" s="50" t="s">
        <v>91</v>
      </c>
      <c r="C273" s="50">
        <v>407</v>
      </c>
      <c r="D273" s="51" t="s">
        <v>72</v>
      </c>
    </row>
    <row r="274" spans="2:4" x14ac:dyDescent="0.25">
      <c r="B274" s="50" t="s">
        <v>91</v>
      </c>
      <c r="C274" s="50">
        <v>305</v>
      </c>
      <c r="D274" s="51" t="s">
        <v>72</v>
      </c>
    </row>
    <row r="275" spans="2:4" x14ac:dyDescent="0.25">
      <c r="B275" s="50" t="s">
        <v>91</v>
      </c>
      <c r="C275" s="50">
        <v>347</v>
      </c>
      <c r="D275" s="51" t="s">
        <v>72</v>
      </c>
    </row>
    <row r="276" spans="2:4" x14ac:dyDescent="0.25">
      <c r="B276" s="50" t="s">
        <v>91</v>
      </c>
      <c r="C276" s="50">
        <v>451</v>
      </c>
      <c r="D276" s="51" t="s">
        <v>72</v>
      </c>
    </row>
    <row r="277" spans="2:4" x14ac:dyDescent="0.25">
      <c r="B277" s="50" t="s">
        <v>91</v>
      </c>
      <c r="C277" s="50">
        <v>502</v>
      </c>
      <c r="D277" s="51" t="s">
        <v>73</v>
      </c>
    </row>
    <row r="278" spans="2:4" x14ac:dyDescent="0.25">
      <c r="B278" s="50" t="s">
        <v>91</v>
      </c>
      <c r="C278" s="50">
        <v>491</v>
      </c>
      <c r="D278" s="51" t="s">
        <v>73</v>
      </c>
    </row>
    <row r="279" spans="2:4" x14ac:dyDescent="0.25">
      <c r="B279" s="50" t="s">
        <v>91</v>
      </c>
      <c r="C279" s="50">
        <v>505</v>
      </c>
      <c r="D279" s="51" t="s">
        <v>73</v>
      </c>
    </row>
    <row r="280" spans="2:4" x14ac:dyDescent="0.25">
      <c r="B280" s="50" t="s">
        <v>91</v>
      </c>
      <c r="C280" s="50">
        <v>520</v>
      </c>
      <c r="D280" s="51" t="s">
        <v>73</v>
      </c>
    </row>
    <row r="281" spans="2:4" x14ac:dyDescent="0.25">
      <c r="B281" s="50" t="s">
        <v>91</v>
      </c>
      <c r="C281" s="50">
        <v>539</v>
      </c>
      <c r="D281" s="51" t="s">
        <v>73</v>
      </c>
    </row>
    <row r="282" spans="2:4" x14ac:dyDescent="0.25">
      <c r="B282" s="50" t="s">
        <v>92</v>
      </c>
      <c r="C282" s="50">
        <v>400</v>
      </c>
      <c r="D282" s="51" t="s">
        <v>67</v>
      </c>
    </row>
    <row r="283" spans="2:4" x14ac:dyDescent="0.25">
      <c r="B283" s="50" t="s">
        <v>92</v>
      </c>
      <c r="C283" s="50">
        <v>306</v>
      </c>
      <c r="D283" s="51" t="s">
        <v>68</v>
      </c>
    </row>
    <row r="284" spans="2:4" x14ac:dyDescent="0.25">
      <c r="B284" s="50" t="s">
        <v>92</v>
      </c>
      <c r="C284" s="50">
        <v>420</v>
      </c>
      <c r="D284" s="51" t="s">
        <v>68</v>
      </c>
    </row>
    <row r="285" spans="2:4" x14ac:dyDescent="0.25">
      <c r="B285" s="50" t="s">
        <v>92</v>
      </c>
      <c r="C285" s="50">
        <v>399</v>
      </c>
      <c r="D285" s="51" t="s">
        <v>68</v>
      </c>
    </row>
    <row r="286" spans="2:4" x14ac:dyDescent="0.25">
      <c r="B286" s="50" t="s">
        <v>92</v>
      </c>
      <c r="C286" s="50">
        <v>362</v>
      </c>
      <c r="D286" s="51" t="s">
        <v>68</v>
      </c>
    </row>
    <row r="287" spans="2:4" x14ac:dyDescent="0.25">
      <c r="B287" s="50" t="s">
        <v>92</v>
      </c>
      <c r="C287" s="50">
        <v>442</v>
      </c>
      <c r="D287" s="51" t="s">
        <v>68</v>
      </c>
    </row>
    <row r="288" spans="2:4" x14ac:dyDescent="0.25">
      <c r="B288" s="50" t="s">
        <v>92</v>
      </c>
      <c r="C288" s="50">
        <v>469</v>
      </c>
      <c r="D288" s="51" t="s">
        <v>69</v>
      </c>
    </row>
    <row r="289" spans="2:4" x14ac:dyDescent="0.25">
      <c r="B289" s="50" t="s">
        <v>92</v>
      </c>
      <c r="C289" s="50">
        <v>418</v>
      </c>
      <c r="D289" s="51" t="s">
        <v>69</v>
      </c>
    </row>
    <row r="290" spans="2:4" x14ac:dyDescent="0.25">
      <c r="B290" s="50" t="s">
        <v>92</v>
      </c>
      <c r="C290" s="50">
        <v>301</v>
      </c>
      <c r="D290" s="51" t="s">
        <v>69</v>
      </c>
    </row>
    <row r="291" spans="2:4" x14ac:dyDescent="0.25">
      <c r="B291" s="50" t="s">
        <v>92</v>
      </c>
      <c r="C291" s="50">
        <v>500</v>
      </c>
      <c r="D291" s="51" t="s">
        <v>69</v>
      </c>
    </row>
    <row r="292" spans="2:4" x14ac:dyDescent="0.25">
      <c r="B292" s="50" t="s">
        <v>92</v>
      </c>
      <c r="C292" s="50">
        <v>376</v>
      </c>
      <c r="D292" s="51" t="s">
        <v>69</v>
      </c>
    </row>
    <row r="293" spans="2:4" x14ac:dyDescent="0.25">
      <c r="B293" s="50" t="s">
        <v>92</v>
      </c>
      <c r="C293" s="50">
        <v>445</v>
      </c>
      <c r="D293" s="51" t="s">
        <v>69</v>
      </c>
    </row>
    <row r="294" spans="2:4" x14ac:dyDescent="0.25">
      <c r="B294" s="50" t="s">
        <v>92</v>
      </c>
      <c r="C294" s="50">
        <v>365</v>
      </c>
      <c r="D294" s="51" t="s">
        <v>70</v>
      </c>
    </row>
    <row r="295" spans="2:4" x14ac:dyDescent="0.25">
      <c r="B295" s="50" t="s">
        <v>92</v>
      </c>
      <c r="C295" s="50">
        <v>440</v>
      </c>
      <c r="D295" s="51" t="s">
        <v>70</v>
      </c>
    </row>
    <row r="296" spans="2:4" x14ac:dyDescent="0.25">
      <c r="B296" s="50" t="s">
        <v>92</v>
      </c>
      <c r="C296" s="50">
        <v>545</v>
      </c>
      <c r="D296" s="51" t="s">
        <v>70</v>
      </c>
    </row>
    <row r="297" spans="2:4" x14ac:dyDescent="0.25">
      <c r="B297" s="50" t="s">
        <v>92</v>
      </c>
      <c r="C297" s="50">
        <v>454</v>
      </c>
      <c r="D297" s="51" t="s">
        <v>70</v>
      </c>
    </row>
    <row r="298" spans="2:4" x14ac:dyDescent="0.25">
      <c r="B298" s="50" t="s">
        <v>92</v>
      </c>
      <c r="C298" s="50">
        <v>444</v>
      </c>
      <c r="D298" s="51" t="s">
        <v>70</v>
      </c>
    </row>
    <row r="299" spans="2:4" x14ac:dyDescent="0.25">
      <c r="B299" s="50" t="s">
        <v>92</v>
      </c>
      <c r="C299" s="50">
        <v>515</v>
      </c>
      <c r="D299" s="51" t="s">
        <v>70</v>
      </c>
    </row>
    <row r="300" spans="2:4" x14ac:dyDescent="0.25">
      <c r="B300" s="50" t="s">
        <v>92</v>
      </c>
      <c r="C300" s="50">
        <v>510</v>
      </c>
      <c r="D300" s="51" t="s">
        <v>70</v>
      </c>
    </row>
    <row r="301" spans="2:4" x14ac:dyDescent="0.25">
      <c r="B301" s="50" t="s">
        <v>92</v>
      </c>
      <c r="C301" s="50">
        <v>450</v>
      </c>
      <c r="D301" s="51" t="s">
        <v>70</v>
      </c>
    </row>
    <row r="302" spans="2:4" x14ac:dyDescent="0.25">
      <c r="B302" s="50" t="s">
        <v>92</v>
      </c>
      <c r="C302" s="50">
        <v>323</v>
      </c>
      <c r="D302" s="51" t="s">
        <v>70</v>
      </c>
    </row>
    <row r="303" spans="2:4" x14ac:dyDescent="0.25">
      <c r="B303" s="50" t="s">
        <v>92</v>
      </c>
      <c r="C303" s="50">
        <v>332</v>
      </c>
      <c r="D303" s="51" t="s">
        <v>70</v>
      </c>
    </row>
    <row r="304" spans="2:4" x14ac:dyDescent="0.25">
      <c r="B304" s="50" t="s">
        <v>92</v>
      </c>
      <c r="C304" s="50">
        <v>392</v>
      </c>
      <c r="D304" s="51" t="s">
        <v>70</v>
      </c>
    </row>
    <row r="305" spans="2:4" x14ac:dyDescent="0.25">
      <c r="B305" s="50" t="s">
        <v>92</v>
      </c>
      <c r="C305" s="50">
        <v>471</v>
      </c>
      <c r="D305" s="51" t="s">
        <v>70</v>
      </c>
    </row>
    <row r="306" spans="2:4" x14ac:dyDescent="0.25">
      <c r="B306" s="50" t="s">
        <v>92</v>
      </c>
      <c r="C306" s="50">
        <v>403</v>
      </c>
      <c r="D306" s="51" t="s">
        <v>70</v>
      </c>
    </row>
    <row r="307" spans="2:4" x14ac:dyDescent="0.25">
      <c r="B307" s="50" t="s">
        <v>92</v>
      </c>
      <c r="C307" s="50">
        <v>413</v>
      </c>
      <c r="D307" s="51" t="s">
        <v>70</v>
      </c>
    </row>
    <row r="308" spans="2:4" x14ac:dyDescent="0.25">
      <c r="B308" s="50" t="s">
        <v>92</v>
      </c>
      <c r="C308" s="50">
        <v>321</v>
      </c>
      <c r="D308" s="51" t="s">
        <v>70</v>
      </c>
    </row>
    <row r="309" spans="2:4" x14ac:dyDescent="0.25">
      <c r="B309" s="50" t="s">
        <v>92</v>
      </c>
      <c r="C309" s="50">
        <v>333</v>
      </c>
      <c r="D309" s="51" t="s">
        <v>70</v>
      </c>
    </row>
    <row r="310" spans="2:4" x14ac:dyDescent="0.25">
      <c r="B310" s="50" t="s">
        <v>92</v>
      </c>
      <c r="C310" s="50">
        <v>313</v>
      </c>
      <c r="D310" s="51" t="s">
        <v>70</v>
      </c>
    </row>
    <row r="311" spans="2:4" x14ac:dyDescent="0.25">
      <c r="B311" s="50" t="s">
        <v>92</v>
      </c>
      <c r="C311" s="50">
        <v>478</v>
      </c>
      <c r="D311" s="51" t="s">
        <v>70</v>
      </c>
    </row>
    <row r="312" spans="2:4" x14ac:dyDescent="0.25">
      <c r="B312" s="50" t="s">
        <v>92</v>
      </c>
      <c r="C312" s="50">
        <v>519</v>
      </c>
      <c r="D312" s="51" t="s">
        <v>70</v>
      </c>
    </row>
    <row r="313" spans="2:4" x14ac:dyDescent="0.25">
      <c r="B313" s="50" t="s">
        <v>92</v>
      </c>
      <c r="C313" s="50">
        <v>499</v>
      </c>
      <c r="D313" s="51" t="s">
        <v>70</v>
      </c>
    </row>
    <row r="314" spans="2:4" x14ac:dyDescent="0.25">
      <c r="B314" s="50" t="s">
        <v>92</v>
      </c>
      <c r="C314" s="50">
        <v>506</v>
      </c>
      <c r="D314" s="51" t="s">
        <v>70</v>
      </c>
    </row>
    <row r="315" spans="2:4" x14ac:dyDescent="0.25">
      <c r="B315" s="50" t="s">
        <v>92</v>
      </c>
      <c r="C315" s="50">
        <v>477</v>
      </c>
      <c r="D315" s="51" t="s">
        <v>70</v>
      </c>
    </row>
    <row r="316" spans="2:4" x14ac:dyDescent="0.25">
      <c r="B316" s="50" t="s">
        <v>92</v>
      </c>
      <c r="C316" s="50">
        <v>448</v>
      </c>
      <c r="D316" s="51" t="s">
        <v>70</v>
      </c>
    </row>
    <row r="317" spans="2:4" x14ac:dyDescent="0.25">
      <c r="B317" s="50" t="s">
        <v>92</v>
      </c>
      <c r="C317" s="50">
        <v>509</v>
      </c>
      <c r="D317" s="51" t="s">
        <v>70</v>
      </c>
    </row>
    <row r="318" spans="2:4" x14ac:dyDescent="0.25">
      <c r="B318" s="50" t="s">
        <v>92</v>
      </c>
      <c r="C318" s="50">
        <v>527</v>
      </c>
      <c r="D318" s="51" t="s">
        <v>70</v>
      </c>
    </row>
    <row r="319" spans="2:4" x14ac:dyDescent="0.25">
      <c r="B319" s="50" t="s">
        <v>92</v>
      </c>
      <c r="C319" s="50">
        <v>326</v>
      </c>
      <c r="D319" s="51" t="s">
        <v>70</v>
      </c>
    </row>
    <row r="320" spans="2:4" x14ac:dyDescent="0.25">
      <c r="B320" s="50" t="s">
        <v>92</v>
      </c>
      <c r="C320" s="50">
        <v>447</v>
      </c>
      <c r="D320" s="51" t="s">
        <v>70</v>
      </c>
    </row>
    <row r="321" spans="2:4" x14ac:dyDescent="0.25">
      <c r="B321" s="50" t="s">
        <v>92</v>
      </c>
      <c r="C321" s="50">
        <v>462</v>
      </c>
      <c r="D321" s="51" t="s">
        <v>70</v>
      </c>
    </row>
    <row r="322" spans="2:4" x14ac:dyDescent="0.25">
      <c r="B322" s="50" t="s">
        <v>92</v>
      </c>
      <c r="C322" s="50">
        <v>304</v>
      </c>
      <c r="D322" s="51" t="s">
        <v>70</v>
      </c>
    </row>
    <row r="323" spans="2:4" x14ac:dyDescent="0.25">
      <c r="B323" s="50" t="s">
        <v>92</v>
      </c>
      <c r="C323" s="50">
        <v>423</v>
      </c>
      <c r="D323" s="51" t="s">
        <v>70</v>
      </c>
    </row>
    <row r="324" spans="2:4" x14ac:dyDescent="0.25">
      <c r="B324" s="50" t="s">
        <v>92</v>
      </c>
      <c r="C324" s="50">
        <v>331</v>
      </c>
      <c r="D324" s="51" t="s">
        <v>70</v>
      </c>
    </row>
    <row r="325" spans="2:4" x14ac:dyDescent="0.25">
      <c r="B325" s="50" t="s">
        <v>92</v>
      </c>
      <c r="C325" s="50">
        <v>517</v>
      </c>
      <c r="D325" s="51" t="s">
        <v>70</v>
      </c>
    </row>
    <row r="326" spans="2:4" x14ac:dyDescent="0.25">
      <c r="B326" s="50" t="s">
        <v>92</v>
      </c>
      <c r="C326" s="50">
        <v>397</v>
      </c>
      <c r="D326" s="51" t="s">
        <v>70</v>
      </c>
    </row>
    <row r="327" spans="2:4" x14ac:dyDescent="0.25">
      <c r="B327" s="50" t="s">
        <v>92</v>
      </c>
      <c r="C327" s="50">
        <v>494</v>
      </c>
      <c r="D327" s="51" t="s">
        <v>70</v>
      </c>
    </row>
    <row r="328" spans="2:4" x14ac:dyDescent="0.25">
      <c r="B328" s="50" t="s">
        <v>92</v>
      </c>
      <c r="C328" s="50">
        <v>463</v>
      </c>
      <c r="D328" s="51" t="s">
        <v>70</v>
      </c>
    </row>
    <row r="329" spans="2:4" x14ac:dyDescent="0.25">
      <c r="B329" s="50" t="s">
        <v>92</v>
      </c>
      <c r="C329" s="50">
        <v>513</v>
      </c>
      <c r="D329" s="51" t="s">
        <v>70</v>
      </c>
    </row>
    <row r="330" spans="2:4" x14ac:dyDescent="0.25">
      <c r="B330" s="50" t="s">
        <v>92</v>
      </c>
      <c r="C330" s="50">
        <v>385</v>
      </c>
      <c r="D330" s="51" t="s">
        <v>70</v>
      </c>
    </row>
    <row r="331" spans="2:4" x14ac:dyDescent="0.25">
      <c r="B331" s="50" t="s">
        <v>92</v>
      </c>
      <c r="C331" s="50">
        <v>424</v>
      </c>
      <c r="D331" s="51" t="s">
        <v>70</v>
      </c>
    </row>
    <row r="332" spans="2:4" x14ac:dyDescent="0.25">
      <c r="B332" s="50" t="s">
        <v>92</v>
      </c>
      <c r="C332" s="50">
        <v>468</v>
      </c>
      <c r="D332" s="51" t="s">
        <v>70</v>
      </c>
    </row>
    <row r="333" spans="2:4" x14ac:dyDescent="0.25">
      <c r="B333" s="50" t="s">
        <v>92</v>
      </c>
      <c r="C333" s="50">
        <v>496</v>
      </c>
      <c r="D333" s="51" t="s">
        <v>70</v>
      </c>
    </row>
    <row r="334" spans="2:4" x14ac:dyDescent="0.25">
      <c r="B334" s="50" t="s">
        <v>92</v>
      </c>
      <c r="C334" s="50">
        <v>308</v>
      </c>
      <c r="D334" s="51" t="s">
        <v>70</v>
      </c>
    </row>
    <row r="335" spans="2:4" x14ac:dyDescent="0.25">
      <c r="B335" s="50" t="s">
        <v>92</v>
      </c>
      <c r="C335" s="50">
        <v>361</v>
      </c>
      <c r="D335" s="51" t="s">
        <v>70</v>
      </c>
    </row>
    <row r="336" spans="2:4" x14ac:dyDescent="0.25">
      <c r="B336" s="50" t="s">
        <v>92</v>
      </c>
      <c r="C336" s="50">
        <v>390</v>
      </c>
      <c r="D336" s="51" t="s">
        <v>70</v>
      </c>
    </row>
    <row r="337" spans="2:4" x14ac:dyDescent="0.25">
      <c r="B337" s="50" t="s">
        <v>92</v>
      </c>
      <c r="C337" s="50">
        <v>415</v>
      </c>
      <c r="D337" s="51" t="s">
        <v>70</v>
      </c>
    </row>
    <row r="338" spans="2:4" x14ac:dyDescent="0.25">
      <c r="B338" s="50" t="s">
        <v>92</v>
      </c>
      <c r="C338" s="50">
        <v>319</v>
      </c>
      <c r="D338" s="51" t="s">
        <v>70</v>
      </c>
    </row>
    <row r="339" spans="2:4" x14ac:dyDescent="0.25">
      <c r="B339" s="50" t="s">
        <v>92</v>
      </c>
      <c r="C339" s="50">
        <v>479</v>
      </c>
      <c r="D339" s="51" t="s">
        <v>71</v>
      </c>
    </row>
    <row r="340" spans="2:4" x14ac:dyDescent="0.25">
      <c r="B340" s="50" t="s">
        <v>92</v>
      </c>
      <c r="C340" s="50">
        <v>433</v>
      </c>
      <c r="D340" s="51" t="s">
        <v>71</v>
      </c>
    </row>
    <row r="341" spans="2:4" x14ac:dyDescent="0.25">
      <c r="B341" s="50" t="s">
        <v>92</v>
      </c>
      <c r="C341" s="50">
        <v>508</v>
      </c>
      <c r="D341" s="51" t="s">
        <v>71</v>
      </c>
    </row>
    <row r="342" spans="2:4" x14ac:dyDescent="0.25">
      <c r="B342" s="50" t="s">
        <v>92</v>
      </c>
      <c r="C342" s="50">
        <v>416</v>
      </c>
      <c r="D342" s="51" t="s">
        <v>71</v>
      </c>
    </row>
    <row r="343" spans="2:4" x14ac:dyDescent="0.25">
      <c r="B343" s="50" t="s">
        <v>92</v>
      </c>
      <c r="C343" s="50">
        <v>322</v>
      </c>
      <c r="D343" s="51" t="s">
        <v>71</v>
      </c>
    </row>
    <row r="344" spans="2:4" x14ac:dyDescent="0.25">
      <c r="B344" s="50" t="s">
        <v>92</v>
      </c>
      <c r="C344" s="50">
        <v>417</v>
      </c>
      <c r="D344" s="51" t="s">
        <v>71</v>
      </c>
    </row>
    <row r="345" spans="2:4" x14ac:dyDescent="0.25">
      <c r="B345" s="50" t="s">
        <v>92</v>
      </c>
      <c r="C345" s="50">
        <v>490</v>
      </c>
      <c r="D345" s="51" t="s">
        <v>71</v>
      </c>
    </row>
    <row r="346" spans="2:4" x14ac:dyDescent="0.25">
      <c r="B346" s="50" t="s">
        <v>92</v>
      </c>
      <c r="C346" s="50">
        <v>521</v>
      </c>
      <c r="D346" s="51" t="s">
        <v>71</v>
      </c>
    </row>
    <row r="347" spans="2:4" x14ac:dyDescent="0.25">
      <c r="B347" s="50" t="s">
        <v>92</v>
      </c>
      <c r="C347" s="50">
        <v>370</v>
      </c>
      <c r="D347" s="51" t="s">
        <v>71</v>
      </c>
    </row>
    <row r="348" spans="2:4" x14ac:dyDescent="0.25">
      <c r="B348" s="50" t="s">
        <v>92</v>
      </c>
      <c r="C348" s="50">
        <v>503</v>
      </c>
      <c r="D348" s="51" t="s">
        <v>71</v>
      </c>
    </row>
    <row r="349" spans="2:4" x14ac:dyDescent="0.25">
      <c r="B349" s="50" t="s">
        <v>92</v>
      </c>
      <c r="C349" s="50">
        <v>543</v>
      </c>
      <c r="D349" s="51" t="s">
        <v>71</v>
      </c>
    </row>
    <row r="350" spans="2:4" x14ac:dyDescent="0.25">
      <c r="B350" s="50" t="s">
        <v>92</v>
      </c>
      <c r="C350" s="50">
        <v>474</v>
      </c>
      <c r="D350" s="51" t="s">
        <v>71</v>
      </c>
    </row>
    <row r="351" spans="2:4" x14ac:dyDescent="0.25">
      <c r="B351" s="50" t="s">
        <v>92</v>
      </c>
      <c r="C351" s="50">
        <v>334</v>
      </c>
      <c r="D351" s="51" t="s">
        <v>71</v>
      </c>
    </row>
    <row r="352" spans="2:4" x14ac:dyDescent="0.25">
      <c r="B352" s="50" t="s">
        <v>92</v>
      </c>
      <c r="C352" s="50">
        <v>493</v>
      </c>
      <c r="D352" s="51" t="s">
        <v>71</v>
      </c>
    </row>
    <row r="353" spans="2:4" x14ac:dyDescent="0.25">
      <c r="B353" s="50" t="s">
        <v>92</v>
      </c>
      <c r="C353" s="50">
        <v>523</v>
      </c>
      <c r="D353" s="51" t="s">
        <v>71</v>
      </c>
    </row>
    <row r="354" spans="2:4" x14ac:dyDescent="0.25">
      <c r="B354" s="50" t="s">
        <v>92</v>
      </c>
      <c r="C354" s="50">
        <v>317</v>
      </c>
      <c r="D354" s="51" t="s">
        <v>71</v>
      </c>
    </row>
    <row r="355" spans="2:4" x14ac:dyDescent="0.25">
      <c r="B355" s="50" t="s">
        <v>92</v>
      </c>
      <c r="C355" s="50">
        <v>356</v>
      </c>
      <c r="D355" s="51" t="s">
        <v>71</v>
      </c>
    </row>
    <row r="356" spans="2:4" x14ac:dyDescent="0.25">
      <c r="B356" s="50" t="s">
        <v>92</v>
      </c>
      <c r="C356" s="50">
        <v>455</v>
      </c>
      <c r="D356" s="51" t="s">
        <v>71</v>
      </c>
    </row>
    <row r="357" spans="2:4" x14ac:dyDescent="0.25">
      <c r="B357" s="50" t="s">
        <v>92</v>
      </c>
      <c r="C357" s="50">
        <v>504</v>
      </c>
      <c r="D357" s="51" t="s">
        <v>71</v>
      </c>
    </row>
    <row r="358" spans="2:4" x14ac:dyDescent="0.25">
      <c r="B358" s="50" t="s">
        <v>92</v>
      </c>
      <c r="C358" s="50">
        <v>407</v>
      </c>
      <c r="D358" s="51" t="s">
        <v>71</v>
      </c>
    </row>
    <row r="359" spans="2:4" x14ac:dyDescent="0.25">
      <c r="B359" s="50" t="s">
        <v>92</v>
      </c>
      <c r="C359" s="50">
        <v>495</v>
      </c>
      <c r="D359" s="51" t="s">
        <v>71</v>
      </c>
    </row>
    <row r="360" spans="2:4" x14ac:dyDescent="0.25">
      <c r="B360" s="50" t="s">
        <v>92</v>
      </c>
      <c r="C360" s="50">
        <v>393</v>
      </c>
      <c r="D360" s="51" t="s">
        <v>71</v>
      </c>
    </row>
    <row r="361" spans="2:4" x14ac:dyDescent="0.25">
      <c r="B361" s="50" t="s">
        <v>92</v>
      </c>
      <c r="C361" s="50">
        <v>201</v>
      </c>
      <c r="D361" s="51" t="s">
        <v>71</v>
      </c>
    </row>
    <row r="362" spans="2:4" x14ac:dyDescent="0.25">
      <c r="B362" s="50" t="s">
        <v>92</v>
      </c>
      <c r="C362" s="50">
        <v>518</v>
      </c>
      <c r="D362" s="51" t="s">
        <v>71</v>
      </c>
    </row>
    <row r="363" spans="2:4" x14ac:dyDescent="0.25">
      <c r="B363" s="50" t="s">
        <v>92</v>
      </c>
      <c r="C363" s="50">
        <v>511</v>
      </c>
      <c r="D363" s="51" t="s">
        <v>71</v>
      </c>
    </row>
    <row r="364" spans="2:4" x14ac:dyDescent="0.25">
      <c r="B364" s="50" t="s">
        <v>92</v>
      </c>
      <c r="C364" s="50">
        <v>481</v>
      </c>
      <c r="D364" s="51" t="s">
        <v>71</v>
      </c>
    </row>
    <row r="365" spans="2:4" x14ac:dyDescent="0.25">
      <c r="B365" s="50" t="s">
        <v>92</v>
      </c>
      <c r="C365" s="50">
        <v>438</v>
      </c>
      <c r="D365" s="51" t="s">
        <v>71</v>
      </c>
    </row>
    <row r="366" spans="2:4" x14ac:dyDescent="0.25">
      <c r="B366" s="50" t="s">
        <v>92</v>
      </c>
      <c r="C366" s="50">
        <v>377</v>
      </c>
      <c r="D366" s="51" t="s">
        <v>71</v>
      </c>
    </row>
    <row r="367" spans="2:4" x14ac:dyDescent="0.25">
      <c r="B367" s="50" t="s">
        <v>92</v>
      </c>
      <c r="C367" s="50">
        <v>335</v>
      </c>
      <c r="D367" s="51" t="s">
        <v>71</v>
      </c>
    </row>
    <row r="368" spans="2:4" x14ac:dyDescent="0.25">
      <c r="B368" s="50" t="s">
        <v>92</v>
      </c>
      <c r="C368" s="50">
        <v>465</v>
      </c>
      <c r="D368" s="51" t="s">
        <v>71</v>
      </c>
    </row>
    <row r="369" spans="2:4" x14ac:dyDescent="0.25">
      <c r="B369" s="50" t="s">
        <v>92</v>
      </c>
      <c r="C369" s="50">
        <v>328</v>
      </c>
      <c r="D369" s="51" t="s">
        <v>71</v>
      </c>
    </row>
    <row r="370" spans="2:4" x14ac:dyDescent="0.25">
      <c r="B370" s="50" t="s">
        <v>92</v>
      </c>
      <c r="C370" s="50">
        <v>497</v>
      </c>
      <c r="D370" s="51" t="s">
        <v>71</v>
      </c>
    </row>
    <row r="371" spans="2:4" x14ac:dyDescent="0.25">
      <c r="B371" s="50" t="s">
        <v>92</v>
      </c>
      <c r="C371" s="50">
        <v>421</v>
      </c>
      <c r="D371" s="51" t="s">
        <v>71</v>
      </c>
    </row>
    <row r="372" spans="2:4" x14ac:dyDescent="0.25">
      <c r="B372" s="50" t="s">
        <v>92</v>
      </c>
      <c r="C372" s="50">
        <v>373</v>
      </c>
      <c r="D372" s="51" t="s">
        <v>71</v>
      </c>
    </row>
    <row r="373" spans="2:4" x14ac:dyDescent="0.25">
      <c r="B373" s="50" t="s">
        <v>92</v>
      </c>
      <c r="C373" s="50">
        <v>489</v>
      </c>
      <c r="D373" s="51" t="s">
        <v>71</v>
      </c>
    </row>
    <row r="374" spans="2:4" x14ac:dyDescent="0.25">
      <c r="B374" s="50" t="s">
        <v>92</v>
      </c>
      <c r="C374" s="50">
        <v>528</v>
      </c>
      <c r="D374" s="51" t="s">
        <v>71</v>
      </c>
    </row>
    <row r="375" spans="2:4" x14ac:dyDescent="0.25">
      <c r="B375" s="50" t="s">
        <v>92</v>
      </c>
      <c r="C375" s="50">
        <v>472</v>
      </c>
      <c r="D375" s="51" t="s">
        <v>71</v>
      </c>
    </row>
    <row r="376" spans="2:4" x14ac:dyDescent="0.25">
      <c r="B376" s="50" t="s">
        <v>92</v>
      </c>
      <c r="C376" s="50">
        <v>501</v>
      </c>
      <c r="D376" s="51" t="s">
        <v>71</v>
      </c>
    </row>
    <row r="377" spans="2:4" x14ac:dyDescent="0.25">
      <c r="B377" s="50" t="s">
        <v>92</v>
      </c>
      <c r="C377" s="50">
        <v>432</v>
      </c>
      <c r="D377" s="51" t="s">
        <v>71</v>
      </c>
    </row>
    <row r="378" spans="2:4" x14ac:dyDescent="0.25">
      <c r="B378" s="50" t="s">
        <v>92</v>
      </c>
      <c r="C378" s="50">
        <v>532</v>
      </c>
      <c r="D378" s="51" t="s">
        <v>71</v>
      </c>
    </row>
    <row r="379" spans="2:4" x14ac:dyDescent="0.25">
      <c r="B379" s="50" t="s">
        <v>92</v>
      </c>
      <c r="C379" s="50">
        <v>522</v>
      </c>
      <c r="D379" s="51" t="s">
        <v>71</v>
      </c>
    </row>
    <row r="380" spans="2:4" x14ac:dyDescent="0.25">
      <c r="B380" s="50" t="s">
        <v>92</v>
      </c>
      <c r="C380" s="50">
        <v>314</v>
      </c>
      <c r="D380" s="51" t="s">
        <v>71</v>
      </c>
    </row>
    <row r="381" spans="2:4" x14ac:dyDescent="0.25">
      <c r="B381" s="50" t="s">
        <v>92</v>
      </c>
      <c r="C381" s="50">
        <v>546</v>
      </c>
      <c r="D381" s="51" t="s">
        <v>71</v>
      </c>
    </row>
    <row r="382" spans="2:4" x14ac:dyDescent="0.25">
      <c r="B382" s="50" t="s">
        <v>92</v>
      </c>
      <c r="C382" s="50">
        <v>429</v>
      </c>
      <c r="D382" s="51" t="s">
        <v>71</v>
      </c>
    </row>
    <row r="383" spans="2:4" x14ac:dyDescent="0.25">
      <c r="B383" s="50" t="s">
        <v>92</v>
      </c>
      <c r="C383" s="50">
        <v>422</v>
      </c>
      <c r="D383" s="51" t="s">
        <v>71</v>
      </c>
    </row>
    <row r="384" spans="2:4" x14ac:dyDescent="0.25">
      <c r="B384" s="50" t="s">
        <v>92</v>
      </c>
      <c r="C384" s="50">
        <v>491</v>
      </c>
      <c r="D384" s="51" t="s">
        <v>71</v>
      </c>
    </row>
    <row r="385" spans="2:4" x14ac:dyDescent="0.25">
      <c r="B385" s="50" t="s">
        <v>92</v>
      </c>
      <c r="C385" s="50">
        <v>520</v>
      </c>
      <c r="D385" s="51" t="s">
        <v>71</v>
      </c>
    </row>
    <row r="386" spans="2:4" x14ac:dyDescent="0.25">
      <c r="B386" s="50" t="s">
        <v>92</v>
      </c>
      <c r="C386" s="50">
        <v>526</v>
      </c>
      <c r="D386" s="51" t="s">
        <v>71</v>
      </c>
    </row>
    <row r="387" spans="2:4" x14ac:dyDescent="0.25">
      <c r="B387" s="50" t="s">
        <v>92</v>
      </c>
      <c r="C387" s="50">
        <v>514</v>
      </c>
      <c r="D387" s="51" t="s">
        <v>71</v>
      </c>
    </row>
    <row r="388" spans="2:4" x14ac:dyDescent="0.25">
      <c r="B388" s="50" t="s">
        <v>92</v>
      </c>
      <c r="C388" s="50">
        <v>406</v>
      </c>
      <c r="D388" s="51" t="s">
        <v>71</v>
      </c>
    </row>
    <row r="389" spans="2:4" x14ac:dyDescent="0.25">
      <c r="B389" s="50" t="s">
        <v>92</v>
      </c>
      <c r="C389" s="50">
        <v>405</v>
      </c>
      <c r="D389" s="51" t="s">
        <v>71</v>
      </c>
    </row>
    <row r="390" spans="2:4" x14ac:dyDescent="0.25">
      <c r="B390" s="50" t="s">
        <v>92</v>
      </c>
      <c r="C390" s="50">
        <v>436</v>
      </c>
      <c r="D390" s="51" t="s">
        <v>71</v>
      </c>
    </row>
    <row r="391" spans="2:4" x14ac:dyDescent="0.25">
      <c r="B391" s="50" t="s">
        <v>92</v>
      </c>
      <c r="C391" s="50">
        <v>529</v>
      </c>
      <c r="D391" s="51" t="s">
        <v>71</v>
      </c>
    </row>
    <row r="392" spans="2:4" x14ac:dyDescent="0.25">
      <c r="B392" s="50" t="s">
        <v>92</v>
      </c>
      <c r="C392" s="50">
        <v>482</v>
      </c>
      <c r="D392" s="51" t="s">
        <v>71</v>
      </c>
    </row>
    <row r="393" spans="2:4" x14ac:dyDescent="0.25">
      <c r="B393" s="50" t="s">
        <v>92</v>
      </c>
      <c r="C393" s="50">
        <v>533</v>
      </c>
      <c r="D393" s="51" t="s">
        <v>71</v>
      </c>
    </row>
    <row r="394" spans="2:4" x14ac:dyDescent="0.25">
      <c r="B394" s="50" t="s">
        <v>92</v>
      </c>
      <c r="C394" s="50">
        <v>402</v>
      </c>
      <c r="D394" s="51" t="s">
        <v>71</v>
      </c>
    </row>
    <row r="395" spans="2:4" x14ac:dyDescent="0.25">
      <c r="B395" s="50" t="s">
        <v>92</v>
      </c>
      <c r="C395" s="50">
        <v>347</v>
      </c>
      <c r="D395" s="51" t="s">
        <v>71</v>
      </c>
    </row>
    <row r="396" spans="2:4" x14ac:dyDescent="0.25">
      <c r="B396" s="50" t="s">
        <v>92</v>
      </c>
      <c r="C396" s="50">
        <v>452</v>
      </c>
      <c r="D396" s="51" t="s">
        <v>72</v>
      </c>
    </row>
    <row r="397" spans="2:4" x14ac:dyDescent="0.25">
      <c r="B397" s="50" t="s">
        <v>92</v>
      </c>
      <c r="C397" s="50">
        <v>467</v>
      </c>
      <c r="D397" s="51" t="s">
        <v>72</v>
      </c>
    </row>
    <row r="398" spans="2:4" x14ac:dyDescent="0.25">
      <c r="B398" s="50" t="s">
        <v>92</v>
      </c>
      <c r="C398" s="50">
        <v>305</v>
      </c>
      <c r="D398" s="51" t="s">
        <v>72</v>
      </c>
    </row>
    <row r="399" spans="2:4" x14ac:dyDescent="0.25">
      <c r="B399" s="50" t="s">
        <v>92</v>
      </c>
      <c r="C399" s="50">
        <v>492</v>
      </c>
      <c r="D399" s="51" t="s">
        <v>72</v>
      </c>
    </row>
    <row r="400" spans="2:4" x14ac:dyDescent="0.25">
      <c r="B400" s="50" t="s">
        <v>92</v>
      </c>
      <c r="C400" s="50">
        <v>488</v>
      </c>
      <c r="D400" s="51" t="s">
        <v>72</v>
      </c>
    </row>
    <row r="401" spans="2:4" x14ac:dyDescent="0.25">
      <c r="B401" s="50" t="s">
        <v>92</v>
      </c>
      <c r="C401" s="50">
        <v>502</v>
      </c>
      <c r="D401" s="51" t="s">
        <v>72</v>
      </c>
    </row>
    <row r="402" spans="2:4" x14ac:dyDescent="0.25">
      <c r="B402" s="50" t="s">
        <v>92</v>
      </c>
      <c r="C402" s="50">
        <v>451</v>
      </c>
      <c r="D402" s="51" t="s">
        <v>72</v>
      </c>
    </row>
    <row r="403" spans="2:4" x14ac:dyDescent="0.25">
      <c r="B403" s="50" t="s">
        <v>92</v>
      </c>
      <c r="C403" s="50">
        <v>428</v>
      </c>
      <c r="D403" s="51" t="s">
        <v>72</v>
      </c>
    </row>
    <row r="404" spans="2:4" x14ac:dyDescent="0.25">
      <c r="B404" s="50" t="s">
        <v>92</v>
      </c>
      <c r="C404" s="50">
        <v>516</v>
      </c>
      <c r="D404" s="51" t="s">
        <v>72</v>
      </c>
    </row>
    <row r="405" spans="2:4" x14ac:dyDescent="0.25">
      <c r="B405" s="50" t="s">
        <v>92</v>
      </c>
      <c r="C405" s="50">
        <v>456</v>
      </c>
      <c r="D405" s="51" t="s">
        <v>72</v>
      </c>
    </row>
    <row r="406" spans="2:4" x14ac:dyDescent="0.25">
      <c r="B406" s="50" t="s">
        <v>92</v>
      </c>
      <c r="C406" s="50">
        <v>505</v>
      </c>
      <c r="D406" s="51" t="s">
        <v>72</v>
      </c>
    </row>
    <row r="407" spans="2:4" x14ac:dyDescent="0.25">
      <c r="B407" s="50" t="s">
        <v>92</v>
      </c>
      <c r="C407" s="50">
        <v>541</v>
      </c>
      <c r="D407" s="51" t="s">
        <v>72</v>
      </c>
    </row>
    <row r="408" spans="2:4" x14ac:dyDescent="0.25">
      <c r="B408" s="50" t="s">
        <v>92</v>
      </c>
      <c r="C408" s="50">
        <v>464</v>
      </c>
      <c r="D408" s="51" t="s">
        <v>72</v>
      </c>
    </row>
    <row r="409" spans="2:4" x14ac:dyDescent="0.25">
      <c r="B409" s="50" t="s">
        <v>92</v>
      </c>
      <c r="C409" s="50">
        <v>487</v>
      </c>
      <c r="D409" s="51" t="s">
        <v>72</v>
      </c>
    </row>
    <row r="410" spans="2:4" x14ac:dyDescent="0.25">
      <c r="B410" s="50" t="s">
        <v>92</v>
      </c>
      <c r="C410" s="50">
        <v>538</v>
      </c>
      <c r="D410" s="51" t="s">
        <v>72</v>
      </c>
    </row>
    <row r="411" spans="2:4" x14ac:dyDescent="0.25">
      <c r="B411" s="50" t="s">
        <v>92</v>
      </c>
      <c r="C411" s="50">
        <v>475</v>
      </c>
      <c r="D411" s="51" t="s">
        <v>72</v>
      </c>
    </row>
    <row r="412" spans="2:4" x14ac:dyDescent="0.25">
      <c r="B412" s="50" t="s">
        <v>92</v>
      </c>
      <c r="C412" s="50">
        <v>358</v>
      </c>
      <c r="D412" s="51" t="s">
        <v>72</v>
      </c>
    </row>
    <row r="413" spans="2:4" x14ac:dyDescent="0.25">
      <c r="B413" s="50" t="s">
        <v>92</v>
      </c>
      <c r="C413" s="50">
        <v>531</v>
      </c>
      <c r="D413" s="51" t="s">
        <v>72</v>
      </c>
    </row>
    <row r="414" spans="2:4" x14ac:dyDescent="0.25">
      <c r="B414" s="50" t="s">
        <v>92</v>
      </c>
      <c r="C414" s="50">
        <v>484</v>
      </c>
      <c r="D414" s="51" t="s">
        <v>72</v>
      </c>
    </row>
    <row r="415" spans="2:4" x14ac:dyDescent="0.25">
      <c r="B415" s="50" t="s">
        <v>92</v>
      </c>
      <c r="C415" s="50">
        <v>544</v>
      </c>
      <c r="D415" s="51" t="s">
        <v>72</v>
      </c>
    </row>
    <row r="416" spans="2:4" x14ac:dyDescent="0.25">
      <c r="B416" s="50" t="s">
        <v>92</v>
      </c>
      <c r="C416" s="50">
        <v>507</v>
      </c>
      <c r="D416" s="51" t="s">
        <v>73</v>
      </c>
    </row>
    <row r="417" spans="2:4" x14ac:dyDescent="0.25">
      <c r="B417" s="50" t="s">
        <v>92</v>
      </c>
      <c r="C417" s="50">
        <v>537</v>
      </c>
      <c r="D417" s="51" t="s">
        <v>73</v>
      </c>
    </row>
    <row r="418" spans="2:4" x14ac:dyDescent="0.25">
      <c r="B418" s="50" t="s">
        <v>92</v>
      </c>
      <c r="C418" s="50">
        <v>536</v>
      </c>
      <c r="D418" s="51" t="s">
        <v>73</v>
      </c>
    </row>
    <row r="419" spans="2:4" x14ac:dyDescent="0.25">
      <c r="B419" s="50" t="s">
        <v>92</v>
      </c>
      <c r="C419" s="50">
        <v>539</v>
      </c>
      <c r="D419" s="51" t="s">
        <v>73</v>
      </c>
    </row>
    <row r="420" spans="2:4" x14ac:dyDescent="0.25">
      <c r="B420" s="50" t="s">
        <v>92</v>
      </c>
      <c r="C420" s="50">
        <v>540</v>
      </c>
      <c r="D420" s="51" t="s">
        <v>73</v>
      </c>
    </row>
    <row r="421" spans="2:4" x14ac:dyDescent="0.25">
      <c r="B421" s="50" t="s">
        <v>93</v>
      </c>
      <c r="C421" s="50">
        <v>400</v>
      </c>
      <c r="D421" s="51" t="s">
        <v>67</v>
      </c>
    </row>
    <row r="422" spans="2:4" x14ac:dyDescent="0.25">
      <c r="B422" s="50" t="s">
        <v>93</v>
      </c>
      <c r="C422" s="50">
        <v>306</v>
      </c>
      <c r="D422" s="51" t="s">
        <v>68</v>
      </c>
    </row>
    <row r="423" spans="2:4" x14ac:dyDescent="0.25">
      <c r="B423" s="50" t="s">
        <v>93</v>
      </c>
      <c r="C423" s="50">
        <v>420</v>
      </c>
      <c r="D423" s="51" t="s">
        <v>68</v>
      </c>
    </row>
    <row r="424" spans="2:4" x14ac:dyDescent="0.25">
      <c r="B424" s="50" t="s">
        <v>93</v>
      </c>
      <c r="C424" s="50">
        <v>500</v>
      </c>
      <c r="D424" s="51" t="s">
        <v>68</v>
      </c>
    </row>
    <row r="425" spans="2:4" x14ac:dyDescent="0.25">
      <c r="B425" s="50" t="s">
        <v>93</v>
      </c>
      <c r="C425" s="50">
        <v>418</v>
      </c>
      <c r="D425" s="51" t="s">
        <v>68</v>
      </c>
    </row>
    <row r="426" spans="2:4" x14ac:dyDescent="0.25">
      <c r="B426" s="50" t="s">
        <v>93</v>
      </c>
      <c r="C426" s="50">
        <v>376</v>
      </c>
      <c r="D426" s="51" t="s">
        <v>68</v>
      </c>
    </row>
    <row r="427" spans="2:4" x14ac:dyDescent="0.25">
      <c r="B427" s="50" t="s">
        <v>93</v>
      </c>
      <c r="C427" s="50">
        <v>301</v>
      </c>
      <c r="D427" s="51" t="s">
        <v>69</v>
      </c>
    </row>
    <row r="428" spans="2:4" x14ac:dyDescent="0.25">
      <c r="B428" s="50" t="s">
        <v>93</v>
      </c>
      <c r="C428" s="50">
        <v>445</v>
      </c>
      <c r="D428" s="51" t="s">
        <v>69</v>
      </c>
    </row>
    <row r="429" spans="2:4" x14ac:dyDescent="0.25">
      <c r="B429" s="50" t="s">
        <v>93</v>
      </c>
      <c r="C429" s="50">
        <v>362</v>
      </c>
      <c r="D429" s="51" t="s">
        <v>69</v>
      </c>
    </row>
    <row r="430" spans="2:4" x14ac:dyDescent="0.25">
      <c r="B430" s="50" t="s">
        <v>93</v>
      </c>
      <c r="C430" s="50">
        <v>399</v>
      </c>
      <c r="D430" s="51" t="s">
        <v>69</v>
      </c>
    </row>
    <row r="431" spans="2:4" x14ac:dyDescent="0.25">
      <c r="B431" s="50" t="s">
        <v>93</v>
      </c>
      <c r="C431" s="50">
        <v>442</v>
      </c>
      <c r="D431" s="51" t="s">
        <v>69</v>
      </c>
    </row>
    <row r="432" spans="2:4" x14ac:dyDescent="0.25">
      <c r="B432" s="50" t="s">
        <v>93</v>
      </c>
      <c r="C432" s="50">
        <v>469</v>
      </c>
      <c r="D432" s="51" t="s">
        <v>69</v>
      </c>
    </row>
    <row r="433" spans="2:4" x14ac:dyDescent="0.25">
      <c r="B433" s="50" t="s">
        <v>93</v>
      </c>
      <c r="C433" s="50">
        <v>515</v>
      </c>
      <c r="D433" s="51" t="s">
        <v>70</v>
      </c>
    </row>
    <row r="434" spans="2:4" x14ac:dyDescent="0.25">
      <c r="B434" s="50" t="s">
        <v>93</v>
      </c>
      <c r="C434" s="50">
        <v>365</v>
      </c>
      <c r="D434" s="51" t="s">
        <v>70</v>
      </c>
    </row>
    <row r="435" spans="2:4" x14ac:dyDescent="0.25">
      <c r="B435" s="50" t="s">
        <v>93</v>
      </c>
      <c r="C435" s="50">
        <v>440</v>
      </c>
      <c r="D435" s="51" t="s">
        <v>70</v>
      </c>
    </row>
    <row r="436" spans="2:4" x14ac:dyDescent="0.25">
      <c r="B436" s="50" t="s">
        <v>93</v>
      </c>
      <c r="C436" s="50">
        <v>545</v>
      </c>
      <c r="D436" s="51" t="s">
        <v>70</v>
      </c>
    </row>
    <row r="437" spans="2:4" x14ac:dyDescent="0.25">
      <c r="B437" s="50" t="s">
        <v>93</v>
      </c>
      <c r="C437" s="50">
        <v>444</v>
      </c>
      <c r="D437" s="51" t="s">
        <v>70</v>
      </c>
    </row>
    <row r="438" spans="2:4" x14ac:dyDescent="0.25">
      <c r="B438" s="50" t="s">
        <v>93</v>
      </c>
      <c r="C438" s="50">
        <v>454</v>
      </c>
      <c r="D438" s="51" t="s">
        <v>70</v>
      </c>
    </row>
    <row r="439" spans="2:4" x14ac:dyDescent="0.25">
      <c r="B439" s="50" t="s">
        <v>93</v>
      </c>
      <c r="C439" s="50">
        <v>323</v>
      </c>
      <c r="D439" s="51" t="s">
        <v>70</v>
      </c>
    </row>
    <row r="440" spans="2:4" x14ac:dyDescent="0.25">
      <c r="B440" s="50" t="s">
        <v>93</v>
      </c>
      <c r="C440" s="50">
        <v>332</v>
      </c>
      <c r="D440" s="51" t="s">
        <v>70</v>
      </c>
    </row>
    <row r="441" spans="2:4" x14ac:dyDescent="0.25">
      <c r="B441" s="50" t="s">
        <v>93</v>
      </c>
      <c r="C441" s="50">
        <v>321</v>
      </c>
      <c r="D441" s="51" t="s">
        <v>70</v>
      </c>
    </row>
    <row r="442" spans="2:4" x14ac:dyDescent="0.25">
      <c r="B442" s="50" t="s">
        <v>93</v>
      </c>
      <c r="C442" s="50">
        <v>450</v>
      </c>
      <c r="D442" s="51" t="s">
        <v>70</v>
      </c>
    </row>
    <row r="443" spans="2:4" x14ac:dyDescent="0.25">
      <c r="B443" s="50" t="s">
        <v>93</v>
      </c>
      <c r="C443" s="50">
        <v>499</v>
      </c>
      <c r="D443" s="51" t="s">
        <v>70</v>
      </c>
    </row>
    <row r="444" spans="2:4" x14ac:dyDescent="0.25">
      <c r="B444" s="50" t="s">
        <v>93</v>
      </c>
      <c r="C444" s="50">
        <v>478</v>
      </c>
      <c r="D444" s="51" t="s">
        <v>70</v>
      </c>
    </row>
    <row r="445" spans="2:4" x14ac:dyDescent="0.25">
      <c r="B445" s="50" t="s">
        <v>93</v>
      </c>
      <c r="C445" s="50">
        <v>403</v>
      </c>
      <c r="D445" s="51" t="s">
        <v>70</v>
      </c>
    </row>
    <row r="446" spans="2:4" x14ac:dyDescent="0.25">
      <c r="B446" s="50" t="s">
        <v>93</v>
      </c>
      <c r="C446" s="50">
        <v>326</v>
      </c>
      <c r="D446" s="51" t="s">
        <v>70</v>
      </c>
    </row>
    <row r="447" spans="2:4" x14ac:dyDescent="0.25">
      <c r="B447" s="50" t="s">
        <v>93</v>
      </c>
      <c r="C447" s="50">
        <v>392</v>
      </c>
      <c r="D447" s="51" t="s">
        <v>70</v>
      </c>
    </row>
    <row r="448" spans="2:4" x14ac:dyDescent="0.25">
      <c r="B448" s="50" t="s">
        <v>93</v>
      </c>
      <c r="C448" s="50">
        <v>313</v>
      </c>
      <c r="D448" s="51" t="s">
        <v>70</v>
      </c>
    </row>
    <row r="449" spans="2:4" x14ac:dyDescent="0.25">
      <c r="B449" s="50" t="s">
        <v>93</v>
      </c>
      <c r="C449" s="50">
        <v>509</v>
      </c>
      <c r="D449" s="51" t="s">
        <v>70</v>
      </c>
    </row>
    <row r="450" spans="2:4" x14ac:dyDescent="0.25">
      <c r="B450" s="50" t="s">
        <v>93</v>
      </c>
      <c r="C450" s="50">
        <v>471</v>
      </c>
      <c r="D450" s="51" t="s">
        <v>70</v>
      </c>
    </row>
    <row r="451" spans="2:4" x14ac:dyDescent="0.25">
      <c r="B451" s="50" t="s">
        <v>93</v>
      </c>
      <c r="C451" s="50">
        <v>413</v>
      </c>
      <c r="D451" s="51" t="s">
        <v>70</v>
      </c>
    </row>
    <row r="452" spans="2:4" x14ac:dyDescent="0.25">
      <c r="B452" s="50" t="s">
        <v>93</v>
      </c>
      <c r="C452" s="50">
        <v>510</v>
      </c>
      <c r="D452" s="51" t="s">
        <v>70</v>
      </c>
    </row>
    <row r="453" spans="2:4" x14ac:dyDescent="0.25">
      <c r="B453" s="50" t="s">
        <v>93</v>
      </c>
      <c r="C453" s="50">
        <v>527</v>
      </c>
      <c r="D453" s="51" t="s">
        <v>70</v>
      </c>
    </row>
    <row r="454" spans="2:4" x14ac:dyDescent="0.25">
      <c r="B454" s="50" t="s">
        <v>93</v>
      </c>
      <c r="C454" s="50">
        <v>333</v>
      </c>
      <c r="D454" s="51" t="s">
        <v>70</v>
      </c>
    </row>
    <row r="455" spans="2:4" x14ac:dyDescent="0.25">
      <c r="B455" s="50" t="s">
        <v>93</v>
      </c>
      <c r="C455" s="50">
        <v>519</v>
      </c>
      <c r="D455" s="51" t="s">
        <v>70</v>
      </c>
    </row>
    <row r="456" spans="2:4" x14ac:dyDescent="0.25">
      <c r="B456" s="50" t="s">
        <v>93</v>
      </c>
      <c r="C456" s="50">
        <v>304</v>
      </c>
      <c r="D456" s="51" t="s">
        <v>70</v>
      </c>
    </row>
    <row r="457" spans="2:4" x14ac:dyDescent="0.25">
      <c r="B457" s="50" t="s">
        <v>93</v>
      </c>
      <c r="C457" s="50">
        <v>477</v>
      </c>
      <c r="D457" s="51" t="s">
        <v>70</v>
      </c>
    </row>
    <row r="458" spans="2:4" x14ac:dyDescent="0.25">
      <c r="B458" s="50" t="s">
        <v>93</v>
      </c>
      <c r="C458" s="50">
        <v>463</v>
      </c>
      <c r="D458" s="51" t="s">
        <v>70</v>
      </c>
    </row>
    <row r="459" spans="2:4" x14ac:dyDescent="0.25">
      <c r="B459" s="50" t="s">
        <v>93</v>
      </c>
      <c r="C459" s="50">
        <v>361</v>
      </c>
      <c r="D459" s="51" t="s">
        <v>70</v>
      </c>
    </row>
    <row r="460" spans="2:4" x14ac:dyDescent="0.25">
      <c r="B460" s="50" t="s">
        <v>93</v>
      </c>
      <c r="C460" s="50">
        <v>494</v>
      </c>
      <c r="D460" s="51" t="s">
        <v>70</v>
      </c>
    </row>
    <row r="461" spans="2:4" x14ac:dyDescent="0.25">
      <c r="B461" s="50" t="s">
        <v>93</v>
      </c>
      <c r="C461" s="50">
        <v>506</v>
      </c>
      <c r="D461" s="51" t="s">
        <v>70</v>
      </c>
    </row>
    <row r="462" spans="2:4" x14ac:dyDescent="0.25">
      <c r="B462" s="50" t="s">
        <v>93</v>
      </c>
      <c r="C462" s="50">
        <v>447</v>
      </c>
      <c r="D462" s="51" t="s">
        <v>70</v>
      </c>
    </row>
    <row r="463" spans="2:4" x14ac:dyDescent="0.25">
      <c r="B463" s="50" t="s">
        <v>93</v>
      </c>
      <c r="C463" s="50">
        <v>513</v>
      </c>
      <c r="D463" s="51" t="s">
        <v>70</v>
      </c>
    </row>
    <row r="464" spans="2:4" x14ac:dyDescent="0.25">
      <c r="B464" s="50" t="s">
        <v>93</v>
      </c>
      <c r="C464" s="50">
        <v>424</v>
      </c>
      <c r="D464" s="51" t="s">
        <v>70</v>
      </c>
    </row>
    <row r="465" spans="2:4" x14ac:dyDescent="0.25">
      <c r="B465" s="50" t="s">
        <v>93</v>
      </c>
      <c r="C465" s="50">
        <v>462</v>
      </c>
      <c r="D465" s="51" t="s">
        <v>70</v>
      </c>
    </row>
    <row r="466" spans="2:4" x14ac:dyDescent="0.25">
      <c r="B466" s="50" t="s">
        <v>93</v>
      </c>
      <c r="C466" s="50">
        <v>521</v>
      </c>
      <c r="D466" s="51" t="s">
        <v>70</v>
      </c>
    </row>
    <row r="467" spans="2:4" x14ac:dyDescent="0.25">
      <c r="B467" s="50" t="s">
        <v>93</v>
      </c>
      <c r="C467" s="50">
        <v>423</v>
      </c>
      <c r="D467" s="51" t="s">
        <v>70</v>
      </c>
    </row>
    <row r="468" spans="2:4" x14ac:dyDescent="0.25">
      <c r="B468" s="50" t="s">
        <v>93</v>
      </c>
      <c r="C468" s="50">
        <v>390</v>
      </c>
      <c r="D468" s="51" t="s">
        <v>70</v>
      </c>
    </row>
    <row r="469" spans="2:4" x14ac:dyDescent="0.25">
      <c r="B469" s="50" t="s">
        <v>93</v>
      </c>
      <c r="C469" s="50">
        <v>397</v>
      </c>
      <c r="D469" s="51" t="s">
        <v>70</v>
      </c>
    </row>
    <row r="470" spans="2:4" x14ac:dyDescent="0.25">
      <c r="B470" s="50" t="s">
        <v>93</v>
      </c>
      <c r="C470" s="50">
        <v>331</v>
      </c>
      <c r="D470" s="51" t="s">
        <v>70</v>
      </c>
    </row>
    <row r="471" spans="2:4" x14ac:dyDescent="0.25">
      <c r="B471" s="50" t="s">
        <v>93</v>
      </c>
      <c r="C471" s="50">
        <v>517</v>
      </c>
      <c r="D471" s="51" t="s">
        <v>70</v>
      </c>
    </row>
    <row r="472" spans="2:4" x14ac:dyDescent="0.25">
      <c r="B472" s="50" t="s">
        <v>93</v>
      </c>
      <c r="C472" s="50">
        <v>415</v>
      </c>
      <c r="D472" s="51" t="s">
        <v>70</v>
      </c>
    </row>
    <row r="473" spans="2:4" x14ac:dyDescent="0.25">
      <c r="B473" s="50" t="s">
        <v>93</v>
      </c>
      <c r="C473" s="50">
        <v>468</v>
      </c>
      <c r="D473" s="51" t="s">
        <v>70</v>
      </c>
    </row>
    <row r="474" spans="2:4" x14ac:dyDescent="0.25">
      <c r="B474" s="50" t="s">
        <v>93</v>
      </c>
      <c r="C474" s="50">
        <v>474</v>
      </c>
      <c r="D474" s="51" t="s">
        <v>70</v>
      </c>
    </row>
    <row r="475" spans="2:4" x14ac:dyDescent="0.25">
      <c r="B475" s="50" t="s">
        <v>93</v>
      </c>
      <c r="C475" s="50">
        <v>385</v>
      </c>
      <c r="D475" s="51" t="s">
        <v>70</v>
      </c>
    </row>
    <row r="476" spans="2:4" x14ac:dyDescent="0.25">
      <c r="B476" s="50" t="s">
        <v>93</v>
      </c>
      <c r="C476" s="50">
        <v>319</v>
      </c>
      <c r="D476" s="51" t="s">
        <v>70</v>
      </c>
    </row>
    <row r="477" spans="2:4" x14ac:dyDescent="0.25">
      <c r="B477" s="50" t="s">
        <v>93</v>
      </c>
      <c r="C477" s="50">
        <v>479</v>
      </c>
      <c r="D477" s="51" t="s">
        <v>70</v>
      </c>
    </row>
    <row r="478" spans="2:4" x14ac:dyDescent="0.25">
      <c r="B478" s="50" t="s">
        <v>93</v>
      </c>
      <c r="C478" s="50">
        <v>322</v>
      </c>
      <c r="D478" s="51" t="s">
        <v>71</v>
      </c>
    </row>
    <row r="479" spans="2:4" x14ac:dyDescent="0.25">
      <c r="B479" s="50" t="s">
        <v>93</v>
      </c>
      <c r="C479" s="50">
        <v>448</v>
      </c>
      <c r="D479" s="51" t="s">
        <v>71</v>
      </c>
    </row>
    <row r="480" spans="2:4" x14ac:dyDescent="0.25">
      <c r="B480" s="50" t="s">
        <v>93</v>
      </c>
      <c r="C480" s="50">
        <v>496</v>
      </c>
      <c r="D480" s="51" t="s">
        <v>71</v>
      </c>
    </row>
    <row r="481" spans="2:4" x14ac:dyDescent="0.25">
      <c r="B481" s="50" t="s">
        <v>93</v>
      </c>
      <c r="C481" s="50">
        <v>490</v>
      </c>
      <c r="D481" s="51" t="s">
        <v>71</v>
      </c>
    </row>
    <row r="482" spans="2:4" x14ac:dyDescent="0.25">
      <c r="B482" s="50" t="s">
        <v>93</v>
      </c>
      <c r="C482" s="50">
        <v>503</v>
      </c>
      <c r="D482" s="51" t="s">
        <v>71</v>
      </c>
    </row>
    <row r="483" spans="2:4" x14ac:dyDescent="0.25">
      <c r="B483" s="50" t="s">
        <v>93</v>
      </c>
      <c r="C483" s="50">
        <v>416</v>
      </c>
      <c r="D483" s="51" t="s">
        <v>71</v>
      </c>
    </row>
    <row r="484" spans="2:4" x14ac:dyDescent="0.25">
      <c r="B484" s="50" t="s">
        <v>93</v>
      </c>
      <c r="C484" s="50">
        <v>433</v>
      </c>
      <c r="D484" s="51" t="s">
        <v>71</v>
      </c>
    </row>
    <row r="485" spans="2:4" x14ac:dyDescent="0.25">
      <c r="B485" s="50" t="s">
        <v>93</v>
      </c>
      <c r="C485" s="50">
        <v>317</v>
      </c>
      <c r="D485" s="51" t="s">
        <v>71</v>
      </c>
    </row>
    <row r="486" spans="2:4" x14ac:dyDescent="0.25">
      <c r="B486" s="50" t="s">
        <v>93</v>
      </c>
      <c r="C486" s="50">
        <v>523</v>
      </c>
      <c r="D486" s="51" t="s">
        <v>71</v>
      </c>
    </row>
    <row r="487" spans="2:4" x14ac:dyDescent="0.25">
      <c r="B487" s="50" t="s">
        <v>93</v>
      </c>
      <c r="C487" s="50">
        <v>493</v>
      </c>
      <c r="D487" s="51" t="s">
        <v>71</v>
      </c>
    </row>
    <row r="488" spans="2:4" x14ac:dyDescent="0.25">
      <c r="B488" s="50" t="s">
        <v>93</v>
      </c>
      <c r="C488" s="50">
        <v>497</v>
      </c>
      <c r="D488" s="51" t="s">
        <v>71</v>
      </c>
    </row>
    <row r="489" spans="2:4" x14ac:dyDescent="0.25">
      <c r="B489" s="50" t="s">
        <v>93</v>
      </c>
      <c r="C489" s="50">
        <v>417</v>
      </c>
      <c r="D489" s="51" t="s">
        <v>71</v>
      </c>
    </row>
    <row r="490" spans="2:4" x14ac:dyDescent="0.25">
      <c r="B490" s="50" t="s">
        <v>93</v>
      </c>
      <c r="C490" s="50">
        <v>308</v>
      </c>
      <c r="D490" s="51" t="s">
        <v>71</v>
      </c>
    </row>
    <row r="491" spans="2:4" x14ac:dyDescent="0.25">
      <c r="B491" s="50" t="s">
        <v>93</v>
      </c>
      <c r="C491" s="50">
        <v>335</v>
      </c>
      <c r="D491" s="51" t="s">
        <v>71</v>
      </c>
    </row>
    <row r="492" spans="2:4" x14ac:dyDescent="0.25">
      <c r="B492" s="50" t="s">
        <v>93</v>
      </c>
      <c r="C492" s="50">
        <v>511</v>
      </c>
      <c r="D492" s="51" t="s">
        <v>71</v>
      </c>
    </row>
    <row r="493" spans="2:4" x14ac:dyDescent="0.25">
      <c r="B493" s="50" t="s">
        <v>93</v>
      </c>
      <c r="C493" s="50">
        <v>504</v>
      </c>
      <c r="D493" s="51" t="s">
        <v>71</v>
      </c>
    </row>
    <row r="494" spans="2:4" x14ac:dyDescent="0.25">
      <c r="B494" s="50" t="s">
        <v>93</v>
      </c>
      <c r="C494" s="50">
        <v>481</v>
      </c>
      <c r="D494" s="51" t="s">
        <v>71</v>
      </c>
    </row>
    <row r="495" spans="2:4" x14ac:dyDescent="0.25">
      <c r="B495" s="50" t="s">
        <v>93</v>
      </c>
      <c r="C495" s="50">
        <v>508</v>
      </c>
      <c r="D495" s="51" t="s">
        <v>71</v>
      </c>
    </row>
    <row r="496" spans="2:4" x14ac:dyDescent="0.25">
      <c r="B496" s="50" t="s">
        <v>93</v>
      </c>
      <c r="C496" s="50">
        <v>495</v>
      </c>
      <c r="D496" s="51" t="s">
        <v>71</v>
      </c>
    </row>
    <row r="497" spans="2:4" x14ac:dyDescent="0.25">
      <c r="B497" s="50" t="s">
        <v>93</v>
      </c>
      <c r="C497" s="50">
        <v>373</v>
      </c>
      <c r="D497" s="51" t="s">
        <v>71</v>
      </c>
    </row>
    <row r="498" spans="2:4" x14ac:dyDescent="0.25">
      <c r="B498" s="50" t="s">
        <v>93</v>
      </c>
      <c r="C498" s="50">
        <v>334</v>
      </c>
      <c r="D498" s="51" t="s">
        <v>71</v>
      </c>
    </row>
    <row r="499" spans="2:4" x14ac:dyDescent="0.25">
      <c r="B499" s="50" t="s">
        <v>93</v>
      </c>
      <c r="C499" s="50">
        <v>201</v>
      </c>
      <c r="D499" s="51" t="s">
        <v>71</v>
      </c>
    </row>
    <row r="500" spans="2:4" x14ac:dyDescent="0.25">
      <c r="B500" s="50" t="s">
        <v>93</v>
      </c>
      <c r="C500" s="50">
        <v>491</v>
      </c>
      <c r="D500" s="51" t="s">
        <v>71</v>
      </c>
    </row>
    <row r="501" spans="2:4" x14ac:dyDescent="0.25">
      <c r="B501" s="50" t="s">
        <v>93</v>
      </c>
      <c r="C501" s="50">
        <v>543</v>
      </c>
      <c r="D501" s="51" t="s">
        <v>71</v>
      </c>
    </row>
    <row r="502" spans="2:4" x14ac:dyDescent="0.25">
      <c r="B502" s="50" t="s">
        <v>93</v>
      </c>
      <c r="C502" s="50">
        <v>465</v>
      </c>
      <c r="D502" s="51" t="s">
        <v>71</v>
      </c>
    </row>
    <row r="503" spans="2:4" x14ac:dyDescent="0.25">
      <c r="B503" s="50" t="s">
        <v>93</v>
      </c>
      <c r="C503" s="50">
        <v>518</v>
      </c>
      <c r="D503" s="51" t="s">
        <v>71</v>
      </c>
    </row>
    <row r="504" spans="2:4" x14ac:dyDescent="0.25">
      <c r="B504" s="50" t="s">
        <v>93</v>
      </c>
      <c r="C504" s="50">
        <v>356</v>
      </c>
      <c r="D504" s="51" t="s">
        <v>71</v>
      </c>
    </row>
    <row r="505" spans="2:4" x14ac:dyDescent="0.25">
      <c r="B505" s="50" t="s">
        <v>93</v>
      </c>
      <c r="C505" s="50">
        <v>370</v>
      </c>
      <c r="D505" s="51" t="s">
        <v>71</v>
      </c>
    </row>
    <row r="506" spans="2:4" x14ac:dyDescent="0.25">
      <c r="B506" s="50" t="s">
        <v>93</v>
      </c>
      <c r="C506" s="50">
        <v>429</v>
      </c>
      <c r="D506" s="51" t="s">
        <v>71</v>
      </c>
    </row>
    <row r="507" spans="2:4" x14ac:dyDescent="0.25">
      <c r="B507" s="50" t="s">
        <v>93</v>
      </c>
      <c r="C507" s="50">
        <v>407</v>
      </c>
      <c r="D507" s="51" t="s">
        <v>71</v>
      </c>
    </row>
    <row r="508" spans="2:4" x14ac:dyDescent="0.25">
      <c r="B508" s="50" t="s">
        <v>93</v>
      </c>
      <c r="C508" s="50">
        <v>522</v>
      </c>
      <c r="D508" s="51" t="s">
        <v>71</v>
      </c>
    </row>
    <row r="509" spans="2:4" x14ac:dyDescent="0.25">
      <c r="B509" s="50" t="s">
        <v>93</v>
      </c>
      <c r="C509" s="50">
        <v>455</v>
      </c>
      <c r="D509" s="51" t="s">
        <v>71</v>
      </c>
    </row>
    <row r="510" spans="2:4" x14ac:dyDescent="0.25">
      <c r="B510" s="50" t="s">
        <v>93</v>
      </c>
      <c r="C510" s="50">
        <v>472</v>
      </c>
      <c r="D510" s="51" t="s">
        <v>71</v>
      </c>
    </row>
    <row r="511" spans="2:4" x14ac:dyDescent="0.25">
      <c r="B511" s="50" t="s">
        <v>93</v>
      </c>
      <c r="C511" s="50">
        <v>377</v>
      </c>
      <c r="D511" s="51" t="s">
        <v>71</v>
      </c>
    </row>
    <row r="512" spans="2:4" x14ac:dyDescent="0.25">
      <c r="B512" s="50" t="s">
        <v>93</v>
      </c>
      <c r="C512" s="50">
        <v>526</v>
      </c>
      <c r="D512" s="51" t="s">
        <v>71</v>
      </c>
    </row>
    <row r="513" spans="2:4" x14ac:dyDescent="0.25">
      <c r="B513" s="50" t="s">
        <v>93</v>
      </c>
      <c r="C513" s="50">
        <v>436</v>
      </c>
      <c r="D513" s="51" t="s">
        <v>71</v>
      </c>
    </row>
    <row r="514" spans="2:4" x14ac:dyDescent="0.25">
      <c r="B514" s="50" t="s">
        <v>93</v>
      </c>
      <c r="C514" s="50">
        <v>421</v>
      </c>
      <c r="D514" s="51" t="s">
        <v>71</v>
      </c>
    </row>
    <row r="515" spans="2:4" x14ac:dyDescent="0.25">
      <c r="B515" s="50" t="s">
        <v>93</v>
      </c>
      <c r="C515" s="50">
        <v>520</v>
      </c>
      <c r="D515" s="51" t="s">
        <v>71</v>
      </c>
    </row>
    <row r="516" spans="2:4" x14ac:dyDescent="0.25">
      <c r="B516" s="50" t="s">
        <v>93</v>
      </c>
      <c r="C516" s="50">
        <v>405</v>
      </c>
      <c r="D516" s="51" t="s">
        <v>71</v>
      </c>
    </row>
    <row r="517" spans="2:4" x14ac:dyDescent="0.25">
      <c r="B517" s="50" t="s">
        <v>93</v>
      </c>
      <c r="C517" s="50">
        <v>528</v>
      </c>
      <c r="D517" s="51" t="s">
        <v>71</v>
      </c>
    </row>
    <row r="518" spans="2:4" x14ac:dyDescent="0.25">
      <c r="B518" s="50" t="s">
        <v>93</v>
      </c>
      <c r="C518" s="50">
        <v>422</v>
      </c>
      <c r="D518" s="51" t="s">
        <v>71</v>
      </c>
    </row>
    <row r="519" spans="2:4" x14ac:dyDescent="0.25">
      <c r="B519" s="50" t="s">
        <v>93</v>
      </c>
      <c r="C519" s="50">
        <v>438</v>
      </c>
      <c r="D519" s="51" t="s">
        <v>71</v>
      </c>
    </row>
    <row r="520" spans="2:4" x14ac:dyDescent="0.25">
      <c r="B520" s="50" t="s">
        <v>93</v>
      </c>
      <c r="C520" s="50">
        <v>489</v>
      </c>
      <c r="D520" s="51" t="s">
        <v>71</v>
      </c>
    </row>
    <row r="521" spans="2:4" x14ac:dyDescent="0.25">
      <c r="B521" s="50" t="s">
        <v>93</v>
      </c>
      <c r="C521" s="50">
        <v>532</v>
      </c>
      <c r="D521" s="51" t="s">
        <v>71</v>
      </c>
    </row>
    <row r="522" spans="2:4" x14ac:dyDescent="0.25">
      <c r="B522" s="50" t="s">
        <v>93</v>
      </c>
      <c r="C522" s="50">
        <v>514</v>
      </c>
      <c r="D522" s="51" t="s">
        <v>71</v>
      </c>
    </row>
    <row r="523" spans="2:4" x14ac:dyDescent="0.25">
      <c r="B523" s="50" t="s">
        <v>93</v>
      </c>
      <c r="C523" s="50">
        <v>393</v>
      </c>
      <c r="D523" s="51" t="s">
        <v>71</v>
      </c>
    </row>
    <row r="524" spans="2:4" x14ac:dyDescent="0.25">
      <c r="B524" s="50" t="s">
        <v>93</v>
      </c>
      <c r="C524" s="50">
        <v>482</v>
      </c>
      <c r="D524" s="51" t="s">
        <v>71</v>
      </c>
    </row>
    <row r="525" spans="2:4" x14ac:dyDescent="0.25">
      <c r="B525" s="50" t="s">
        <v>93</v>
      </c>
      <c r="C525" s="50">
        <v>314</v>
      </c>
      <c r="D525" s="51" t="s">
        <v>71</v>
      </c>
    </row>
    <row r="526" spans="2:4" x14ac:dyDescent="0.25">
      <c r="B526" s="50" t="s">
        <v>93</v>
      </c>
      <c r="C526" s="50">
        <v>546</v>
      </c>
      <c r="D526" s="51" t="s">
        <v>71</v>
      </c>
    </row>
    <row r="527" spans="2:4" x14ac:dyDescent="0.25">
      <c r="B527" s="50" t="s">
        <v>93</v>
      </c>
      <c r="C527" s="50">
        <v>328</v>
      </c>
      <c r="D527" s="51" t="s">
        <v>71</v>
      </c>
    </row>
    <row r="528" spans="2:4" x14ac:dyDescent="0.25">
      <c r="B528" s="50" t="s">
        <v>93</v>
      </c>
      <c r="C528" s="50">
        <v>501</v>
      </c>
      <c r="D528" s="51" t="s">
        <v>71</v>
      </c>
    </row>
    <row r="529" spans="2:4" x14ac:dyDescent="0.25">
      <c r="B529" s="50" t="s">
        <v>93</v>
      </c>
      <c r="C529" s="50">
        <v>406</v>
      </c>
      <c r="D529" s="51" t="s">
        <v>71</v>
      </c>
    </row>
    <row r="530" spans="2:4" x14ac:dyDescent="0.25">
      <c r="B530" s="50" t="s">
        <v>93</v>
      </c>
      <c r="C530" s="50">
        <v>432</v>
      </c>
      <c r="D530" s="51" t="s">
        <v>71</v>
      </c>
    </row>
    <row r="531" spans="2:4" x14ac:dyDescent="0.25">
      <c r="B531" s="50" t="s">
        <v>93</v>
      </c>
      <c r="C531" s="50">
        <v>492</v>
      </c>
      <c r="D531" s="51" t="s">
        <v>71</v>
      </c>
    </row>
    <row r="532" spans="2:4" x14ac:dyDescent="0.25">
      <c r="B532" s="50" t="s">
        <v>93</v>
      </c>
      <c r="C532" s="50">
        <v>533</v>
      </c>
      <c r="D532" s="51" t="s">
        <v>71</v>
      </c>
    </row>
    <row r="533" spans="2:4" x14ac:dyDescent="0.25">
      <c r="B533" s="50" t="s">
        <v>93</v>
      </c>
      <c r="C533" s="50">
        <v>516</v>
      </c>
      <c r="D533" s="51" t="s">
        <v>71</v>
      </c>
    </row>
    <row r="534" spans="2:4" x14ac:dyDescent="0.25">
      <c r="B534" s="50" t="s">
        <v>93</v>
      </c>
      <c r="C534" s="50">
        <v>467</v>
      </c>
      <c r="D534" s="51" t="s">
        <v>71</v>
      </c>
    </row>
    <row r="535" spans="2:4" x14ac:dyDescent="0.25">
      <c r="B535" s="50" t="s">
        <v>93</v>
      </c>
      <c r="C535" s="50">
        <v>305</v>
      </c>
      <c r="D535" s="51" t="s">
        <v>72</v>
      </c>
    </row>
    <row r="536" spans="2:4" x14ac:dyDescent="0.25">
      <c r="B536" s="50" t="s">
        <v>93</v>
      </c>
      <c r="C536" s="50">
        <v>347</v>
      </c>
      <c r="D536" s="51" t="s">
        <v>72</v>
      </c>
    </row>
    <row r="537" spans="2:4" x14ac:dyDescent="0.25">
      <c r="B537" s="50" t="s">
        <v>93</v>
      </c>
      <c r="C537" s="50">
        <v>402</v>
      </c>
      <c r="D537" s="51" t="s">
        <v>72</v>
      </c>
    </row>
    <row r="538" spans="2:4" x14ac:dyDescent="0.25">
      <c r="B538" s="50" t="s">
        <v>93</v>
      </c>
      <c r="C538" s="50">
        <v>451</v>
      </c>
      <c r="D538" s="51" t="s">
        <v>72</v>
      </c>
    </row>
    <row r="539" spans="2:4" x14ac:dyDescent="0.25">
      <c r="B539" s="50" t="s">
        <v>93</v>
      </c>
      <c r="C539" s="50">
        <v>529</v>
      </c>
      <c r="D539" s="51" t="s">
        <v>72</v>
      </c>
    </row>
    <row r="540" spans="2:4" x14ac:dyDescent="0.25">
      <c r="B540" s="50" t="s">
        <v>93</v>
      </c>
      <c r="C540" s="50">
        <v>452</v>
      </c>
      <c r="D540" s="51" t="s">
        <v>72</v>
      </c>
    </row>
    <row r="541" spans="2:4" x14ac:dyDescent="0.25">
      <c r="B541" s="50" t="s">
        <v>93</v>
      </c>
      <c r="C541" s="50">
        <v>502</v>
      </c>
      <c r="D541" s="51" t="s">
        <v>72</v>
      </c>
    </row>
    <row r="542" spans="2:4" x14ac:dyDescent="0.25">
      <c r="B542" s="50" t="s">
        <v>93</v>
      </c>
      <c r="C542" s="50">
        <v>428</v>
      </c>
      <c r="D542" s="51" t="s">
        <v>72</v>
      </c>
    </row>
    <row r="543" spans="2:4" x14ac:dyDescent="0.25">
      <c r="B543" s="50" t="s">
        <v>93</v>
      </c>
      <c r="C543" s="50">
        <v>456</v>
      </c>
      <c r="D543" s="51" t="s">
        <v>72</v>
      </c>
    </row>
    <row r="544" spans="2:4" x14ac:dyDescent="0.25">
      <c r="B544" s="50" t="s">
        <v>93</v>
      </c>
      <c r="C544" s="50">
        <v>488</v>
      </c>
      <c r="D544" s="51" t="s">
        <v>72</v>
      </c>
    </row>
    <row r="545" spans="2:4" x14ac:dyDescent="0.25">
      <c r="B545" s="50" t="s">
        <v>93</v>
      </c>
      <c r="C545" s="50">
        <v>505</v>
      </c>
      <c r="D545" s="51" t="s">
        <v>72</v>
      </c>
    </row>
    <row r="546" spans="2:4" x14ac:dyDescent="0.25">
      <c r="B546" s="50" t="s">
        <v>93</v>
      </c>
      <c r="C546" s="50">
        <v>541</v>
      </c>
      <c r="D546" s="51" t="s">
        <v>72</v>
      </c>
    </row>
    <row r="547" spans="2:4" x14ac:dyDescent="0.25">
      <c r="B547" s="50" t="s">
        <v>93</v>
      </c>
      <c r="C547" s="50">
        <v>544</v>
      </c>
      <c r="D547" s="51" t="s">
        <v>72</v>
      </c>
    </row>
    <row r="548" spans="2:4" x14ac:dyDescent="0.25">
      <c r="B548" s="50" t="s">
        <v>93</v>
      </c>
      <c r="C548" s="50">
        <v>487</v>
      </c>
      <c r="D548" s="51" t="s">
        <v>72</v>
      </c>
    </row>
    <row r="549" spans="2:4" x14ac:dyDescent="0.25">
      <c r="B549" s="50" t="s">
        <v>93</v>
      </c>
      <c r="C549" s="50">
        <v>358</v>
      </c>
      <c r="D549" s="51" t="s">
        <v>72</v>
      </c>
    </row>
    <row r="550" spans="2:4" x14ac:dyDescent="0.25">
      <c r="B550" s="50" t="s">
        <v>93</v>
      </c>
      <c r="C550" s="50">
        <v>538</v>
      </c>
      <c r="D550" s="51" t="s">
        <v>72</v>
      </c>
    </row>
    <row r="551" spans="2:4" x14ac:dyDescent="0.25">
      <c r="B551" s="50" t="s">
        <v>93</v>
      </c>
      <c r="C551" s="50">
        <v>507</v>
      </c>
      <c r="D551" s="51" t="s">
        <v>72</v>
      </c>
    </row>
    <row r="552" spans="2:4" x14ac:dyDescent="0.25">
      <c r="B552" s="50" t="s">
        <v>93</v>
      </c>
      <c r="C552" s="50">
        <v>464</v>
      </c>
      <c r="D552" s="51" t="s">
        <v>72</v>
      </c>
    </row>
    <row r="553" spans="2:4" x14ac:dyDescent="0.25">
      <c r="B553" s="50" t="s">
        <v>93</v>
      </c>
      <c r="C553" s="50">
        <v>537</v>
      </c>
      <c r="D553" s="51" t="s">
        <v>72</v>
      </c>
    </row>
    <row r="554" spans="2:4" x14ac:dyDescent="0.25">
      <c r="B554" s="50" t="s">
        <v>93</v>
      </c>
      <c r="C554" s="50">
        <v>475</v>
      </c>
      <c r="D554" s="51" t="s">
        <v>72</v>
      </c>
    </row>
    <row r="555" spans="2:4" x14ac:dyDescent="0.25">
      <c r="B555" s="50" t="s">
        <v>93</v>
      </c>
      <c r="C555" s="50">
        <v>531</v>
      </c>
      <c r="D555" s="51" t="s">
        <v>73</v>
      </c>
    </row>
    <row r="556" spans="2:4" x14ac:dyDescent="0.25">
      <c r="B556" s="50" t="s">
        <v>93</v>
      </c>
      <c r="C556" s="50">
        <v>536</v>
      </c>
      <c r="D556" s="51" t="s">
        <v>73</v>
      </c>
    </row>
    <row r="557" spans="2:4" x14ac:dyDescent="0.25">
      <c r="B557" s="50" t="s">
        <v>93</v>
      </c>
      <c r="C557" s="50">
        <v>484</v>
      </c>
      <c r="D557" s="51" t="s">
        <v>73</v>
      </c>
    </row>
    <row r="558" spans="2:4" x14ac:dyDescent="0.25">
      <c r="B558" s="50" t="s">
        <v>93</v>
      </c>
      <c r="C558" s="50">
        <v>540</v>
      </c>
      <c r="D558" s="51" t="s">
        <v>73</v>
      </c>
    </row>
    <row r="559" spans="2:4" x14ac:dyDescent="0.25">
      <c r="B559" s="50" t="s">
        <v>93</v>
      </c>
      <c r="C559" s="50">
        <v>539</v>
      </c>
      <c r="D559" s="51" t="s">
        <v>73</v>
      </c>
    </row>
    <row r="560" spans="2:4" x14ac:dyDescent="0.25">
      <c r="B560" s="50" t="s">
        <v>94</v>
      </c>
      <c r="C560" s="50">
        <v>399</v>
      </c>
      <c r="D560" s="51" t="s">
        <v>67</v>
      </c>
    </row>
    <row r="561" spans="2:4" x14ac:dyDescent="0.25">
      <c r="B561" s="50" t="s">
        <v>94</v>
      </c>
      <c r="C561" s="50">
        <v>400</v>
      </c>
      <c r="D561" s="51" t="s">
        <v>68</v>
      </c>
    </row>
    <row r="562" spans="2:4" x14ac:dyDescent="0.25">
      <c r="B562" s="50" t="s">
        <v>94</v>
      </c>
      <c r="C562" s="50">
        <v>306</v>
      </c>
      <c r="D562" s="51" t="s">
        <v>68</v>
      </c>
    </row>
    <row r="563" spans="2:4" x14ac:dyDescent="0.25">
      <c r="B563" s="50" t="s">
        <v>94</v>
      </c>
      <c r="C563" s="50">
        <v>392</v>
      </c>
      <c r="D563" s="51" t="s">
        <v>68</v>
      </c>
    </row>
    <row r="564" spans="2:4" x14ac:dyDescent="0.25">
      <c r="B564" s="50" t="s">
        <v>94</v>
      </c>
      <c r="C564" s="50">
        <v>301</v>
      </c>
      <c r="D564" s="51" t="s">
        <v>68</v>
      </c>
    </row>
    <row r="565" spans="2:4" x14ac:dyDescent="0.25">
      <c r="B565" s="50" t="s">
        <v>94</v>
      </c>
      <c r="C565" s="50">
        <v>362</v>
      </c>
      <c r="D565" s="51" t="s">
        <v>68</v>
      </c>
    </row>
    <row r="566" spans="2:4" x14ac:dyDescent="0.25">
      <c r="B566" s="50" t="s">
        <v>94</v>
      </c>
      <c r="C566" s="50">
        <v>469</v>
      </c>
      <c r="D566" s="51" t="s">
        <v>69</v>
      </c>
    </row>
    <row r="567" spans="2:4" x14ac:dyDescent="0.25">
      <c r="B567" s="50" t="s">
        <v>94</v>
      </c>
      <c r="C567" s="50">
        <v>413</v>
      </c>
      <c r="D567" s="51" t="s">
        <v>69</v>
      </c>
    </row>
    <row r="568" spans="2:4" x14ac:dyDescent="0.25">
      <c r="B568" s="50" t="s">
        <v>94</v>
      </c>
      <c r="C568" s="50">
        <v>510</v>
      </c>
      <c r="D568" s="51" t="s">
        <v>69</v>
      </c>
    </row>
    <row r="569" spans="2:4" x14ac:dyDescent="0.25">
      <c r="B569" s="50" t="s">
        <v>94</v>
      </c>
      <c r="C569" s="50">
        <v>418</v>
      </c>
      <c r="D569" s="51" t="s">
        <v>69</v>
      </c>
    </row>
    <row r="570" spans="2:4" x14ac:dyDescent="0.25">
      <c r="B570" s="50" t="s">
        <v>94</v>
      </c>
      <c r="C570" s="50">
        <v>308</v>
      </c>
      <c r="D570" s="51" t="s">
        <v>69</v>
      </c>
    </row>
    <row r="571" spans="2:4" x14ac:dyDescent="0.25">
      <c r="B571" s="50" t="s">
        <v>94</v>
      </c>
      <c r="C571" s="50">
        <v>442</v>
      </c>
      <c r="D571" s="51" t="s">
        <v>69</v>
      </c>
    </row>
    <row r="572" spans="2:4" x14ac:dyDescent="0.25">
      <c r="B572" s="50" t="s">
        <v>94</v>
      </c>
      <c r="C572" s="50">
        <v>420</v>
      </c>
      <c r="D572" s="51" t="s">
        <v>70</v>
      </c>
    </row>
    <row r="573" spans="2:4" x14ac:dyDescent="0.25">
      <c r="B573" s="50" t="s">
        <v>94</v>
      </c>
      <c r="C573" s="50">
        <v>407</v>
      </c>
      <c r="D573" s="51" t="s">
        <v>70</v>
      </c>
    </row>
    <row r="574" spans="2:4" x14ac:dyDescent="0.25">
      <c r="B574" s="50" t="s">
        <v>94</v>
      </c>
      <c r="C574" s="50">
        <v>370</v>
      </c>
      <c r="D574" s="51" t="s">
        <v>70</v>
      </c>
    </row>
    <row r="575" spans="2:4" x14ac:dyDescent="0.25">
      <c r="B575" s="50" t="s">
        <v>94</v>
      </c>
      <c r="C575" s="50">
        <v>450</v>
      </c>
      <c r="D575" s="51" t="s">
        <v>70</v>
      </c>
    </row>
    <row r="576" spans="2:4" x14ac:dyDescent="0.25">
      <c r="B576" s="50" t="s">
        <v>94</v>
      </c>
      <c r="C576" s="50">
        <v>397</v>
      </c>
      <c r="D576" s="51" t="s">
        <v>70</v>
      </c>
    </row>
    <row r="577" spans="2:4" x14ac:dyDescent="0.25">
      <c r="B577" s="50" t="s">
        <v>94</v>
      </c>
      <c r="C577" s="50">
        <v>454</v>
      </c>
      <c r="D577" s="51" t="s">
        <v>70</v>
      </c>
    </row>
    <row r="578" spans="2:4" x14ac:dyDescent="0.25">
      <c r="B578" s="50" t="s">
        <v>94</v>
      </c>
      <c r="C578" s="50">
        <v>331</v>
      </c>
      <c r="D578" s="51" t="s">
        <v>70</v>
      </c>
    </row>
    <row r="579" spans="2:4" x14ac:dyDescent="0.25">
      <c r="B579" s="50" t="s">
        <v>94</v>
      </c>
      <c r="C579" s="50">
        <v>471</v>
      </c>
      <c r="D579" s="51" t="s">
        <v>70</v>
      </c>
    </row>
    <row r="580" spans="2:4" x14ac:dyDescent="0.25">
      <c r="B580" s="50" t="s">
        <v>94</v>
      </c>
      <c r="C580" s="50">
        <v>508</v>
      </c>
      <c r="D580" s="51" t="s">
        <v>70</v>
      </c>
    </row>
    <row r="581" spans="2:4" x14ac:dyDescent="0.25">
      <c r="B581" s="50" t="s">
        <v>94</v>
      </c>
      <c r="C581" s="50">
        <v>515</v>
      </c>
      <c r="D581" s="51" t="s">
        <v>70</v>
      </c>
    </row>
    <row r="582" spans="2:4" x14ac:dyDescent="0.25">
      <c r="B582" s="50" t="s">
        <v>94</v>
      </c>
      <c r="C582" s="50">
        <v>448</v>
      </c>
      <c r="D582" s="51" t="s">
        <v>70</v>
      </c>
    </row>
    <row r="583" spans="2:4" x14ac:dyDescent="0.25">
      <c r="B583" s="50" t="s">
        <v>94</v>
      </c>
      <c r="C583" s="50">
        <v>477</v>
      </c>
      <c r="D583" s="51" t="s">
        <v>70</v>
      </c>
    </row>
    <row r="584" spans="2:4" x14ac:dyDescent="0.25">
      <c r="B584" s="50" t="s">
        <v>94</v>
      </c>
      <c r="C584" s="50">
        <v>393</v>
      </c>
      <c r="D584" s="51" t="s">
        <v>70</v>
      </c>
    </row>
    <row r="585" spans="2:4" x14ac:dyDescent="0.25">
      <c r="B585" s="50" t="s">
        <v>94</v>
      </c>
      <c r="C585" s="50">
        <v>319</v>
      </c>
      <c r="D585" s="51" t="s">
        <v>70</v>
      </c>
    </row>
    <row r="586" spans="2:4" x14ac:dyDescent="0.25">
      <c r="B586" s="50" t="s">
        <v>94</v>
      </c>
      <c r="C586" s="50">
        <v>423</v>
      </c>
      <c r="D586" s="51" t="s">
        <v>70</v>
      </c>
    </row>
    <row r="587" spans="2:4" x14ac:dyDescent="0.25">
      <c r="B587" s="50" t="s">
        <v>94</v>
      </c>
      <c r="C587" s="50">
        <v>440</v>
      </c>
      <c r="D587" s="51" t="s">
        <v>70</v>
      </c>
    </row>
    <row r="588" spans="2:4" x14ac:dyDescent="0.25">
      <c r="B588" s="50" t="s">
        <v>94</v>
      </c>
      <c r="C588" s="50">
        <v>545</v>
      </c>
      <c r="D588" s="51" t="s">
        <v>70</v>
      </c>
    </row>
    <row r="589" spans="2:4" x14ac:dyDescent="0.25">
      <c r="B589" s="50" t="s">
        <v>94</v>
      </c>
      <c r="C589" s="50">
        <v>489</v>
      </c>
      <c r="D589" s="51" t="s">
        <v>70</v>
      </c>
    </row>
    <row r="590" spans="2:4" x14ac:dyDescent="0.25">
      <c r="B590" s="50" t="s">
        <v>94</v>
      </c>
      <c r="C590" s="50">
        <v>376</v>
      </c>
      <c r="D590" s="51" t="s">
        <v>70</v>
      </c>
    </row>
    <row r="591" spans="2:4" x14ac:dyDescent="0.25">
      <c r="B591" s="50" t="s">
        <v>94</v>
      </c>
      <c r="C591" s="50">
        <v>500</v>
      </c>
      <c r="D591" s="51" t="s">
        <v>70</v>
      </c>
    </row>
    <row r="592" spans="2:4" x14ac:dyDescent="0.25">
      <c r="B592" s="50" t="s">
        <v>94</v>
      </c>
      <c r="C592" s="50">
        <v>494</v>
      </c>
      <c r="D592" s="51" t="s">
        <v>70</v>
      </c>
    </row>
    <row r="593" spans="2:4" x14ac:dyDescent="0.25">
      <c r="B593" s="50" t="s">
        <v>94</v>
      </c>
      <c r="C593" s="50">
        <v>365</v>
      </c>
      <c r="D593" s="51" t="s">
        <v>70</v>
      </c>
    </row>
    <row r="594" spans="2:4" x14ac:dyDescent="0.25">
      <c r="B594" s="50" t="s">
        <v>94</v>
      </c>
      <c r="C594" s="50">
        <v>543</v>
      </c>
      <c r="D594" s="51" t="s">
        <v>70</v>
      </c>
    </row>
    <row r="595" spans="2:4" x14ac:dyDescent="0.25">
      <c r="B595" s="50" t="s">
        <v>94</v>
      </c>
      <c r="C595" s="50">
        <v>424</v>
      </c>
      <c r="D595" s="51" t="s">
        <v>70</v>
      </c>
    </row>
    <row r="596" spans="2:4" x14ac:dyDescent="0.25">
      <c r="B596" s="50" t="s">
        <v>94</v>
      </c>
      <c r="C596" s="50">
        <v>506</v>
      </c>
      <c r="D596" s="51" t="s">
        <v>70</v>
      </c>
    </row>
    <row r="597" spans="2:4" x14ac:dyDescent="0.25">
      <c r="B597" s="50" t="s">
        <v>94</v>
      </c>
      <c r="C597" s="50">
        <v>468</v>
      </c>
      <c r="D597" s="51" t="s">
        <v>70</v>
      </c>
    </row>
    <row r="598" spans="2:4" x14ac:dyDescent="0.25">
      <c r="B598" s="50" t="s">
        <v>94</v>
      </c>
      <c r="C598" s="50">
        <v>519</v>
      </c>
      <c r="D598" s="51" t="s">
        <v>70</v>
      </c>
    </row>
    <row r="599" spans="2:4" x14ac:dyDescent="0.25">
      <c r="B599" s="50" t="s">
        <v>94</v>
      </c>
      <c r="C599" s="50">
        <v>417</v>
      </c>
      <c r="D599" s="51" t="s">
        <v>70</v>
      </c>
    </row>
    <row r="600" spans="2:4" x14ac:dyDescent="0.25">
      <c r="B600" s="50" t="s">
        <v>94</v>
      </c>
      <c r="C600" s="50">
        <v>304</v>
      </c>
      <c r="D600" s="51" t="s">
        <v>70</v>
      </c>
    </row>
    <row r="601" spans="2:4" x14ac:dyDescent="0.25">
      <c r="B601" s="50" t="s">
        <v>94</v>
      </c>
      <c r="C601" s="50">
        <v>323</v>
      </c>
      <c r="D601" s="51" t="s">
        <v>70</v>
      </c>
    </row>
    <row r="602" spans="2:4" x14ac:dyDescent="0.25">
      <c r="B602" s="50" t="s">
        <v>94</v>
      </c>
      <c r="C602" s="50">
        <v>447</v>
      </c>
      <c r="D602" s="51" t="s">
        <v>70</v>
      </c>
    </row>
    <row r="603" spans="2:4" x14ac:dyDescent="0.25">
      <c r="B603" s="50" t="s">
        <v>94</v>
      </c>
      <c r="C603" s="50">
        <v>403</v>
      </c>
      <c r="D603" s="51" t="s">
        <v>70</v>
      </c>
    </row>
    <row r="604" spans="2:4" x14ac:dyDescent="0.25">
      <c r="B604" s="50" t="s">
        <v>94</v>
      </c>
      <c r="C604" s="50">
        <v>478</v>
      </c>
      <c r="D604" s="51" t="s">
        <v>70</v>
      </c>
    </row>
    <row r="605" spans="2:4" x14ac:dyDescent="0.25">
      <c r="B605" s="50" t="s">
        <v>94</v>
      </c>
      <c r="C605" s="50">
        <v>455</v>
      </c>
      <c r="D605" s="51" t="s">
        <v>70</v>
      </c>
    </row>
    <row r="606" spans="2:4" x14ac:dyDescent="0.25">
      <c r="B606" s="50" t="s">
        <v>94</v>
      </c>
      <c r="C606" s="50">
        <v>433</v>
      </c>
      <c r="D606" s="51" t="s">
        <v>70</v>
      </c>
    </row>
    <row r="607" spans="2:4" x14ac:dyDescent="0.25">
      <c r="B607" s="50" t="s">
        <v>94</v>
      </c>
      <c r="C607" s="50">
        <v>356</v>
      </c>
      <c r="D607" s="51" t="s">
        <v>70</v>
      </c>
    </row>
    <row r="608" spans="2:4" x14ac:dyDescent="0.25">
      <c r="B608" s="50" t="s">
        <v>94</v>
      </c>
      <c r="C608" s="50">
        <v>496</v>
      </c>
      <c r="D608" s="51" t="s">
        <v>70</v>
      </c>
    </row>
    <row r="609" spans="2:4" x14ac:dyDescent="0.25">
      <c r="B609" s="50" t="s">
        <v>94</v>
      </c>
      <c r="C609" s="50">
        <v>334</v>
      </c>
      <c r="D609" s="51" t="s">
        <v>70</v>
      </c>
    </row>
    <row r="610" spans="2:4" x14ac:dyDescent="0.25">
      <c r="B610" s="50" t="s">
        <v>94</v>
      </c>
      <c r="C610" s="50">
        <v>313</v>
      </c>
      <c r="D610" s="51" t="s">
        <v>70</v>
      </c>
    </row>
    <row r="611" spans="2:4" x14ac:dyDescent="0.25">
      <c r="B611" s="50" t="s">
        <v>94</v>
      </c>
      <c r="C611" s="50">
        <v>333</v>
      </c>
      <c r="D611" s="51" t="s">
        <v>70</v>
      </c>
    </row>
    <row r="612" spans="2:4" x14ac:dyDescent="0.25">
      <c r="B612" s="50" t="s">
        <v>94</v>
      </c>
      <c r="C612" s="50">
        <v>321</v>
      </c>
      <c r="D612" s="51" t="s">
        <v>70</v>
      </c>
    </row>
    <row r="613" spans="2:4" x14ac:dyDescent="0.25">
      <c r="B613" s="50" t="s">
        <v>94</v>
      </c>
      <c r="C613" s="50">
        <v>332</v>
      </c>
      <c r="D613" s="51" t="s">
        <v>70</v>
      </c>
    </row>
    <row r="614" spans="2:4" x14ac:dyDescent="0.25">
      <c r="B614" s="50" t="s">
        <v>94</v>
      </c>
      <c r="C614" s="50">
        <v>482</v>
      </c>
      <c r="D614" s="51" t="s">
        <v>70</v>
      </c>
    </row>
    <row r="615" spans="2:4" x14ac:dyDescent="0.25">
      <c r="B615" s="50" t="s">
        <v>94</v>
      </c>
      <c r="C615" s="50">
        <v>533</v>
      </c>
      <c r="D615" s="51" t="s">
        <v>70</v>
      </c>
    </row>
    <row r="616" spans="2:4" x14ac:dyDescent="0.25">
      <c r="B616" s="50" t="s">
        <v>94</v>
      </c>
      <c r="C616" s="50">
        <v>462</v>
      </c>
      <c r="D616" s="51" t="s">
        <v>70</v>
      </c>
    </row>
    <row r="617" spans="2:4" x14ac:dyDescent="0.25">
      <c r="B617" s="50" t="s">
        <v>94</v>
      </c>
      <c r="C617" s="50">
        <v>479</v>
      </c>
      <c r="D617" s="51" t="s">
        <v>71</v>
      </c>
    </row>
    <row r="618" spans="2:4" x14ac:dyDescent="0.25">
      <c r="B618" s="50" t="s">
        <v>94</v>
      </c>
      <c r="C618" s="50">
        <v>415</v>
      </c>
      <c r="D618" s="51" t="s">
        <v>71</v>
      </c>
    </row>
    <row r="619" spans="2:4" x14ac:dyDescent="0.25">
      <c r="B619" s="50" t="s">
        <v>94</v>
      </c>
      <c r="C619" s="50">
        <v>445</v>
      </c>
      <c r="D619" s="51" t="s">
        <v>71</v>
      </c>
    </row>
    <row r="620" spans="2:4" x14ac:dyDescent="0.25">
      <c r="B620" s="50" t="s">
        <v>94</v>
      </c>
      <c r="C620" s="50">
        <v>517</v>
      </c>
      <c r="D620" s="51" t="s">
        <v>71</v>
      </c>
    </row>
    <row r="621" spans="2:4" x14ac:dyDescent="0.25">
      <c r="B621" s="50" t="s">
        <v>94</v>
      </c>
      <c r="C621" s="50">
        <v>528</v>
      </c>
      <c r="D621" s="51" t="s">
        <v>71</v>
      </c>
    </row>
    <row r="622" spans="2:4" x14ac:dyDescent="0.25">
      <c r="B622" s="50" t="s">
        <v>94</v>
      </c>
      <c r="C622" s="50">
        <v>432</v>
      </c>
      <c r="D622" s="51" t="s">
        <v>71</v>
      </c>
    </row>
    <row r="623" spans="2:4" x14ac:dyDescent="0.25">
      <c r="B623" s="50" t="s">
        <v>94</v>
      </c>
      <c r="C623" s="50">
        <v>444</v>
      </c>
      <c r="D623" s="51" t="s">
        <v>71</v>
      </c>
    </row>
    <row r="624" spans="2:4" x14ac:dyDescent="0.25">
      <c r="B624" s="50" t="s">
        <v>94</v>
      </c>
      <c r="C624" s="50">
        <v>527</v>
      </c>
      <c r="D624" s="51" t="s">
        <v>71</v>
      </c>
    </row>
    <row r="625" spans="2:4" x14ac:dyDescent="0.25">
      <c r="B625" s="50" t="s">
        <v>94</v>
      </c>
      <c r="C625" s="50">
        <v>390</v>
      </c>
      <c r="D625" s="51" t="s">
        <v>71</v>
      </c>
    </row>
    <row r="626" spans="2:4" x14ac:dyDescent="0.25">
      <c r="B626" s="50" t="s">
        <v>94</v>
      </c>
      <c r="C626" s="50">
        <v>513</v>
      </c>
      <c r="D626" s="51" t="s">
        <v>71</v>
      </c>
    </row>
    <row r="627" spans="2:4" x14ac:dyDescent="0.25">
      <c r="B627" s="50" t="s">
        <v>94</v>
      </c>
      <c r="C627" s="50">
        <v>326</v>
      </c>
      <c r="D627" s="51" t="s">
        <v>71</v>
      </c>
    </row>
    <row r="628" spans="2:4" x14ac:dyDescent="0.25">
      <c r="B628" s="50" t="s">
        <v>94</v>
      </c>
      <c r="C628" s="50">
        <v>532</v>
      </c>
      <c r="D628" s="51" t="s">
        <v>71</v>
      </c>
    </row>
    <row r="629" spans="2:4" x14ac:dyDescent="0.25">
      <c r="B629" s="50" t="s">
        <v>94</v>
      </c>
      <c r="C629" s="50">
        <v>328</v>
      </c>
      <c r="D629" s="51" t="s">
        <v>71</v>
      </c>
    </row>
    <row r="630" spans="2:4" x14ac:dyDescent="0.25">
      <c r="B630" s="50" t="s">
        <v>94</v>
      </c>
      <c r="C630" s="50">
        <v>451</v>
      </c>
      <c r="D630" s="51" t="s">
        <v>71</v>
      </c>
    </row>
    <row r="631" spans="2:4" x14ac:dyDescent="0.25">
      <c r="B631" s="50" t="s">
        <v>94</v>
      </c>
      <c r="C631" s="50">
        <v>529</v>
      </c>
      <c r="D631" s="51" t="s">
        <v>71</v>
      </c>
    </row>
    <row r="632" spans="2:4" x14ac:dyDescent="0.25">
      <c r="B632" s="50" t="s">
        <v>94</v>
      </c>
      <c r="C632" s="50">
        <v>347</v>
      </c>
      <c r="D632" s="51" t="s">
        <v>71</v>
      </c>
    </row>
    <row r="633" spans="2:4" x14ac:dyDescent="0.25">
      <c r="B633" s="50" t="s">
        <v>94</v>
      </c>
      <c r="C633" s="50">
        <v>481</v>
      </c>
      <c r="D633" s="51" t="s">
        <v>71</v>
      </c>
    </row>
    <row r="634" spans="2:4" x14ac:dyDescent="0.25">
      <c r="B634" s="50" t="s">
        <v>94</v>
      </c>
      <c r="C634" s="50">
        <v>452</v>
      </c>
      <c r="D634" s="51" t="s">
        <v>71</v>
      </c>
    </row>
    <row r="635" spans="2:4" x14ac:dyDescent="0.25">
      <c r="B635" s="50" t="s">
        <v>94</v>
      </c>
      <c r="C635" s="50">
        <v>490</v>
      </c>
      <c r="D635" s="51" t="s">
        <v>71</v>
      </c>
    </row>
    <row r="636" spans="2:4" x14ac:dyDescent="0.25">
      <c r="B636" s="50" t="s">
        <v>94</v>
      </c>
      <c r="C636" s="50">
        <v>416</v>
      </c>
      <c r="D636" s="51" t="s">
        <v>71</v>
      </c>
    </row>
    <row r="637" spans="2:4" x14ac:dyDescent="0.25">
      <c r="B637" s="50" t="s">
        <v>94</v>
      </c>
      <c r="C637" s="50">
        <v>402</v>
      </c>
      <c r="D637" s="51" t="s">
        <v>71</v>
      </c>
    </row>
    <row r="638" spans="2:4" x14ac:dyDescent="0.25">
      <c r="B638" s="50" t="s">
        <v>94</v>
      </c>
      <c r="C638" s="50">
        <v>385</v>
      </c>
      <c r="D638" s="51" t="s">
        <v>71</v>
      </c>
    </row>
    <row r="639" spans="2:4" x14ac:dyDescent="0.25">
      <c r="B639" s="50" t="s">
        <v>94</v>
      </c>
      <c r="C639" s="50">
        <v>377</v>
      </c>
      <c r="D639" s="51" t="s">
        <v>71</v>
      </c>
    </row>
    <row r="640" spans="2:4" x14ac:dyDescent="0.25">
      <c r="B640" s="50" t="s">
        <v>94</v>
      </c>
      <c r="C640" s="50">
        <v>361</v>
      </c>
      <c r="D640" s="51" t="s">
        <v>71</v>
      </c>
    </row>
    <row r="641" spans="2:4" x14ac:dyDescent="0.25">
      <c r="B641" s="50" t="s">
        <v>94</v>
      </c>
      <c r="C641" s="50">
        <v>438</v>
      </c>
      <c r="D641" s="51" t="s">
        <v>71</v>
      </c>
    </row>
    <row r="642" spans="2:4" x14ac:dyDescent="0.25">
      <c r="B642" s="50" t="s">
        <v>94</v>
      </c>
      <c r="C642" s="50">
        <v>523</v>
      </c>
      <c r="D642" s="51" t="s">
        <v>71</v>
      </c>
    </row>
    <row r="643" spans="2:4" x14ac:dyDescent="0.25">
      <c r="B643" s="50" t="s">
        <v>94</v>
      </c>
      <c r="C643" s="50">
        <v>509</v>
      </c>
      <c r="D643" s="51" t="s">
        <v>71</v>
      </c>
    </row>
    <row r="644" spans="2:4" x14ac:dyDescent="0.25">
      <c r="B644" s="50" t="s">
        <v>94</v>
      </c>
      <c r="C644" s="50">
        <v>475</v>
      </c>
      <c r="D644" s="51" t="s">
        <v>71</v>
      </c>
    </row>
    <row r="645" spans="2:4" x14ac:dyDescent="0.25">
      <c r="B645" s="50" t="s">
        <v>94</v>
      </c>
      <c r="C645" s="50">
        <v>484</v>
      </c>
      <c r="D645" s="51" t="s">
        <v>71</v>
      </c>
    </row>
    <row r="646" spans="2:4" x14ac:dyDescent="0.25">
      <c r="B646" s="50" t="s">
        <v>94</v>
      </c>
      <c r="C646" s="50">
        <v>514</v>
      </c>
      <c r="D646" s="51" t="s">
        <v>71</v>
      </c>
    </row>
    <row r="647" spans="2:4" x14ac:dyDescent="0.25">
      <c r="B647" s="50" t="s">
        <v>94</v>
      </c>
      <c r="C647" s="50">
        <v>488</v>
      </c>
      <c r="D647" s="51" t="s">
        <v>71</v>
      </c>
    </row>
    <row r="648" spans="2:4" x14ac:dyDescent="0.25">
      <c r="B648" s="50" t="s">
        <v>94</v>
      </c>
      <c r="C648" s="50">
        <v>495</v>
      </c>
      <c r="D648" s="51" t="s">
        <v>71</v>
      </c>
    </row>
    <row r="649" spans="2:4" x14ac:dyDescent="0.25">
      <c r="B649" s="50" t="s">
        <v>94</v>
      </c>
      <c r="C649" s="50">
        <v>521</v>
      </c>
      <c r="D649" s="51" t="s">
        <v>71</v>
      </c>
    </row>
    <row r="650" spans="2:4" x14ac:dyDescent="0.25">
      <c r="B650" s="50" t="s">
        <v>94</v>
      </c>
      <c r="C650" s="50">
        <v>317</v>
      </c>
      <c r="D650" s="51" t="s">
        <v>71</v>
      </c>
    </row>
    <row r="651" spans="2:4" x14ac:dyDescent="0.25">
      <c r="B651" s="50" t="s">
        <v>94</v>
      </c>
      <c r="C651" s="50">
        <v>518</v>
      </c>
      <c r="D651" s="51" t="s">
        <v>71</v>
      </c>
    </row>
    <row r="652" spans="2:4" x14ac:dyDescent="0.25">
      <c r="B652" s="50" t="s">
        <v>94</v>
      </c>
      <c r="C652" s="50">
        <v>502</v>
      </c>
      <c r="D652" s="51" t="s">
        <v>71</v>
      </c>
    </row>
    <row r="653" spans="2:4" x14ac:dyDescent="0.25">
      <c r="B653" s="50" t="s">
        <v>94</v>
      </c>
      <c r="C653" s="50">
        <v>322</v>
      </c>
      <c r="D653" s="51" t="s">
        <v>71</v>
      </c>
    </row>
    <row r="654" spans="2:4" x14ac:dyDescent="0.25">
      <c r="B654" s="50" t="s">
        <v>94</v>
      </c>
      <c r="C654" s="50">
        <v>406</v>
      </c>
      <c r="D654" s="51" t="s">
        <v>71</v>
      </c>
    </row>
    <row r="655" spans="2:4" x14ac:dyDescent="0.25">
      <c r="B655" s="50" t="s">
        <v>94</v>
      </c>
      <c r="C655" s="50">
        <v>465</v>
      </c>
      <c r="D655" s="51" t="s">
        <v>71</v>
      </c>
    </row>
    <row r="656" spans="2:4" x14ac:dyDescent="0.25">
      <c r="B656" s="50" t="s">
        <v>94</v>
      </c>
      <c r="C656" s="50">
        <v>305</v>
      </c>
      <c r="D656" s="51" t="s">
        <v>71</v>
      </c>
    </row>
    <row r="657" spans="2:4" x14ac:dyDescent="0.25">
      <c r="B657" s="50" t="s">
        <v>94</v>
      </c>
      <c r="C657" s="50">
        <v>501</v>
      </c>
      <c r="D657" s="51" t="s">
        <v>71</v>
      </c>
    </row>
    <row r="658" spans="2:4" x14ac:dyDescent="0.25">
      <c r="B658" s="50" t="s">
        <v>94</v>
      </c>
      <c r="C658" s="50">
        <v>472</v>
      </c>
      <c r="D658" s="51" t="s">
        <v>71</v>
      </c>
    </row>
    <row r="659" spans="2:4" x14ac:dyDescent="0.25">
      <c r="B659" s="50" t="s">
        <v>94</v>
      </c>
      <c r="C659" s="50">
        <v>520</v>
      </c>
      <c r="D659" s="51" t="s">
        <v>71</v>
      </c>
    </row>
    <row r="660" spans="2:4" x14ac:dyDescent="0.25">
      <c r="B660" s="50" t="s">
        <v>94</v>
      </c>
      <c r="C660" s="50">
        <v>405</v>
      </c>
      <c r="D660" s="51" t="s">
        <v>71</v>
      </c>
    </row>
    <row r="661" spans="2:4" x14ac:dyDescent="0.25">
      <c r="B661" s="50" t="s">
        <v>94</v>
      </c>
      <c r="C661" s="50">
        <v>429</v>
      </c>
      <c r="D661" s="51" t="s">
        <v>71</v>
      </c>
    </row>
    <row r="662" spans="2:4" x14ac:dyDescent="0.25">
      <c r="B662" s="50" t="s">
        <v>94</v>
      </c>
      <c r="C662" s="50">
        <v>539</v>
      </c>
      <c r="D662" s="51" t="s">
        <v>71</v>
      </c>
    </row>
    <row r="663" spans="2:4" x14ac:dyDescent="0.25">
      <c r="B663" s="50" t="s">
        <v>94</v>
      </c>
      <c r="C663" s="50">
        <v>373</v>
      </c>
      <c r="D663" s="51" t="s">
        <v>71</v>
      </c>
    </row>
    <row r="664" spans="2:4" x14ac:dyDescent="0.25">
      <c r="B664" s="50" t="s">
        <v>94</v>
      </c>
      <c r="C664" s="50">
        <v>335</v>
      </c>
      <c r="D664" s="51" t="s">
        <v>71</v>
      </c>
    </row>
    <row r="665" spans="2:4" x14ac:dyDescent="0.25">
      <c r="B665" s="50" t="s">
        <v>94</v>
      </c>
      <c r="C665" s="50">
        <v>201</v>
      </c>
      <c r="D665" s="51" t="s">
        <v>71</v>
      </c>
    </row>
    <row r="666" spans="2:4" x14ac:dyDescent="0.25">
      <c r="B666" s="50" t="s">
        <v>94</v>
      </c>
      <c r="C666" s="50">
        <v>422</v>
      </c>
      <c r="D666" s="51" t="s">
        <v>71</v>
      </c>
    </row>
    <row r="667" spans="2:4" x14ac:dyDescent="0.25">
      <c r="B667" s="50" t="s">
        <v>94</v>
      </c>
      <c r="C667" s="50">
        <v>464</v>
      </c>
      <c r="D667" s="51" t="s">
        <v>71</v>
      </c>
    </row>
    <row r="668" spans="2:4" x14ac:dyDescent="0.25">
      <c r="B668" s="50" t="s">
        <v>94</v>
      </c>
      <c r="C668" s="50">
        <v>421</v>
      </c>
      <c r="D668" s="51" t="s">
        <v>71</v>
      </c>
    </row>
    <row r="669" spans="2:4" x14ac:dyDescent="0.25">
      <c r="B669" s="50" t="s">
        <v>94</v>
      </c>
      <c r="C669" s="50">
        <v>492</v>
      </c>
      <c r="D669" s="51" t="s">
        <v>71</v>
      </c>
    </row>
    <row r="670" spans="2:4" x14ac:dyDescent="0.25">
      <c r="B670" s="50" t="s">
        <v>94</v>
      </c>
      <c r="C670" s="50">
        <v>499</v>
      </c>
      <c r="D670" s="51" t="s">
        <v>71</v>
      </c>
    </row>
    <row r="671" spans="2:4" x14ac:dyDescent="0.25">
      <c r="B671" s="50" t="s">
        <v>94</v>
      </c>
      <c r="C671" s="50">
        <v>463</v>
      </c>
      <c r="D671" s="51" t="s">
        <v>71</v>
      </c>
    </row>
    <row r="672" spans="2:4" x14ac:dyDescent="0.25">
      <c r="B672" s="50" t="s">
        <v>94</v>
      </c>
      <c r="C672" s="50">
        <v>436</v>
      </c>
      <c r="D672" s="51" t="s">
        <v>71</v>
      </c>
    </row>
    <row r="673" spans="2:4" x14ac:dyDescent="0.25">
      <c r="B673" s="50" t="s">
        <v>94</v>
      </c>
      <c r="C673" s="50">
        <v>314</v>
      </c>
      <c r="D673" s="51" t="s">
        <v>71</v>
      </c>
    </row>
    <row r="674" spans="2:4" x14ac:dyDescent="0.25">
      <c r="B674" s="50" t="s">
        <v>94</v>
      </c>
      <c r="C674" s="50">
        <v>546</v>
      </c>
      <c r="D674" s="51" t="s">
        <v>72</v>
      </c>
    </row>
    <row r="675" spans="2:4" x14ac:dyDescent="0.25">
      <c r="B675" s="50" t="s">
        <v>94</v>
      </c>
      <c r="C675" s="50">
        <v>503</v>
      </c>
      <c r="D675" s="51" t="s">
        <v>72</v>
      </c>
    </row>
    <row r="676" spans="2:4" x14ac:dyDescent="0.25">
      <c r="B676" s="50" t="s">
        <v>94</v>
      </c>
      <c r="C676" s="50">
        <v>511</v>
      </c>
      <c r="D676" s="51" t="s">
        <v>72</v>
      </c>
    </row>
    <row r="677" spans="2:4" x14ac:dyDescent="0.25">
      <c r="B677" s="50" t="s">
        <v>94</v>
      </c>
      <c r="C677" s="50">
        <v>428</v>
      </c>
      <c r="D677" s="51" t="s">
        <v>72</v>
      </c>
    </row>
    <row r="678" spans="2:4" x14ac:dyDescent="0.25">
      <c r="B678" s="50" t="s">
        <v>94</v>
      </c>
      <c r="C678" s="50">
        <v>541</v>
      </c>
      <c r="D678" s="51" t="s">
        <v>72</v>
      </c>
    </row>
    <row r="679" spans="2:4" x14ac:dyDescent="0.25">
      <c r="B679" s="50" t="s">
        <v>94</v>
      </c>
      <c r="C679" s="50">
        <v>505</v>
      </c>
      <c r="D679" s="51" t="s">
        <v>72</v>
      </c>
    </row>
    <row r="680" spans="2:4" x14ac:dyDescent="0.25">
      <c r="B680" s="50" t="s">
        <v>94</v>
      </c>
      <c r="C680" s="50">
        <v>493</v>
      </c>
      <c r="D680" s="51" t="s">
        <v>72</v>
      </c>
    </row>
    <row r="681" spans="2:4" x14ac:dyDescent="0.25">
      <c r="B681" s="50" t="s">
        <v>94</v>
      </c>
      <c r="C681" s="50">
        <v>531</v>
      </c>
      <c r="D681" s="51" t="s">
        <v>72</v>
      </c>
    </row>
    <row r="682" spans="2:4" x14ac:dyDescent="0.25">
      <c r="B682" s="50" t="s">
        <v>94</v>
      </c>
      <c r="C682" s="50">
        <v>491</v>
      </c>
      <c r="D682" s="51" t="s">
        <v>72</v>
      </c>
    </row>
    <row r="683" spans="2:4" x14ac:dyDescent="0.25">
      <c r="B683" s="50" t="s">
        <v>94</v>
      </c>
      <c r="C683" s="50">
        <v>507</v>
      </c>
      <c r="D683" s="51" t="s">
        <v>72</v>
      </c>
    </row>
    <row r="684" spans="2:4" x14ac:dyDescent="0.25">
      <c r="B684" s="50" t="s">
        <v>94</v>
      </c>
      <c r="C684" s="50">
        <v>456</v>
      </c>
      <c r="D684" s="51" t="s">
        <v>72</v>
      </c>
    </row>
    <row r="685" spans="2:4" x14ac:dyDescent="0.25">
      <c r="B685" s="50" t="s">
        <v>94</v>
      </c>
      <c r="C685" s="50">
        <v>467</v>
      </c>
      <c r="D685" s="51" t="s">
        <v>72</v>
      </c>
    </row>
    <row r="686" spans="2:4" x14ac:dyDescent="0.25">
      <c r="B686" s="50" t="s">
        <v>94</v>
      </c>
      <c r="C686" s="50">
        <v>358</v>
      </c>
      <c r="D686" s="51" t="s">
        <v>72</v>
      </c>
    </row>
    <row r="687" spans="2:4" x14ac:dyDescent="0.25">
      <c r="B687" s="50" t="s">
        <v>94</v>
      </c>
      <c r="C687" s="50">
        <v>474</v>
      </c>
      <c r="D687" s="51" t="s">
        <v>72</v>
      </c>
    </row>
    <row r="688" spans="2:4" x14ac:dyDescent="0.25">
      <c r="B688" s="50" t="s">
        <v>94</v>
      </c>
      <c r="C688" s="50">
        <v>522</v>
      </c>
      <c r="D688" s="51" t="s">
        <v>72</v>
      </c>
    </row>
    <row r="689" spans="2:4" x14ac:dyDescent="0.25">
      <c r="B689" s="50" t="s">
        <v>94</v>
      </c>
      <c r="C689" s="50">
        <v>497</v>
      </c>
      <c r="D689" s="51" t="s">
        <v>72</v>
      </c>
    </row>
    <row r="690" spans="2:4" x14ac:dyDescent="0.25">
      <c r="B690" s="50" t="s">
        <v>94</v>
      </c>
      <c r="C690" s="50">
        <v>538</v>
      </c>
      <c r="D690" s="51" t="s">
        <v>72</v>
      </c>
    </row>
    <row r="691" spans="2:4" x14ac:dyDescent="0.25">
      <c r="B691" s="50" t="s">
        <v>94</v>
      </c>
      <c r="C691" s="50">
        <v>526</v>
      </c>
      <c r="D691" s="51" t="s">
        <v>72</v>
      </c>
    </row>
    <row r="692" spans="2:4" x14ac:dyDescent="0.25">
      <c r="B692" s="50" t="s">
        <v>94</v>
      </c>
      <c r="C692" s="50">
        <v>504</v>
      </c>
      <c r="D692" s="51" t="s">
        <v>72</v>
      </c>
    </row>
    <row r="693" spans="2:4" x14ac:dyDescent="0.25">
      <c r="B693" s="50" t="s">
        <v>94</v>
      </c>
      <c r="C693" s="50">
        <v>487</v>
      </c>
      <c r="D693" s="51" t="s">
        <v>72</v>
      </c>
    </row>
    <row r="694" spans="2:4" x14ac:dyDescent="0.25">
      <c r="B694" s="50" t="s">
        <v>94</v>
      </c>
      <c r="C694" s="50">
        <v>516</v>
      </c>
      <c r="D694" s="51" t="s">
        <v>73</v>
      </c>
    </row>
    <row r="695" spans="2:4" x14ac:dyDescent="0.25">
      <c r="B695" s="50" t="s">
        <v>94</v>
      </c>
      <c r="C695" s="50">
        <v>537</v>
      </c>
      <c r="D695" s="51" t="s">
        <v>73</v>
      </c>
    </row>
    <row r="696" spans="2:4" x14ac:dyDescent="0.25">
      <c r="B696" s="50" t="s">
        <v>94</v>
      </c>
      <c r="C696" s="50">
        <v>536</v>
      </c>
      <c r="D696" s="51" t="s">
        <v>73</v>
      </c>
    </row>
    <row r="697" spans="2:4" x14ac:dyDescent="0.25">
      <c r="B697" s="50" t="s">
        <v>94</v>
      </c>
      <c r="C697" s="50">
        <v>540</v>
      </c>
      <c r="D697" s="51" t="s">
        <v>73</v>
      </c>
    </row>
    <row r="698" spans="2:4" x14ac:dyDescent="0.25">
      <c r="B698" s="50" t="s">
        <v>94</v>
      </c>
      <c r="C698" s="50">
        <v>544</v>
      </c>
      <c r="D698" s="51" t="s">
        <v>73</v>
      </c>
    </row>
    <row r="699" spans="2:4" x14ac:dyDescent="0.25">
      <c r="B699" s="50" t="s">
        <v>95</v>
      </c>
      <c r="C699" s="50">
        <v>400</v>
      </c>
      <c r="D699" s="51" t="s">
        <v>67</v>
      </c>
    </row>
    <row r="700" spans="2:4" x14ac:dyDescent="0.25">
      <c r="B700" s="50" t="s">
        <v>95</v>
      </c>
      <c r="C700" s="50">
        <v>362</v>
      </c>
      <c r="D700" s="51" t="s">
        <v>68</v>
      </c>
    </row>
    <row r="701" spans="2:4" x14ac:dyDescent="0.25">
      <c r="B701" s="50" t="s">
        <v>95</v>
      </c>
      <c r="C701" s="50">
        <v>399</v>
      </c>
      <c r="D701" s="51" t="s">
        <v>68</v>
      </c>
    </row>
    <row r="702" spans="2:4" x14ac:dyDescent="0.25">
      <c r="B702" s="50" t="s">
        <v>95</v>
      </c>
      <c r="C702" s="50">
        <v>469</v>
      </c>
      <c r="D702" s="51" t="s">
        <v>68</v>
      </c>
    </row>
    <row r="703" spans="2:4" x14ac:dyDescent="0.25">
      <c r="B703" s="50" t="s">
        <v>95</v>
      </c>
      <c r="C703" s="50">
        <v>420</v>
      </c>
      <c r="D703" s="51" t="s">
        <v>68</v>
      </c>
    </row>
    <row r="704" spans="2:4" x14ac:dyDescent="0.25">
      <c r="B704" s="50" t="s">
        <v>95</v>
      </c>
      <c r="C704" s="50">
        <v>306</v>
      </c>
      <c r="D704" s="51" t="s">
        <v>68</v>
      </c>
    </row>
    <row r="705" spans="2:4" x14ac:dyDescent="0.25">
      <c r="B705" s="50" t="s">
        <v>95</v>
      </c>
      <c r="C705" s="50">
        <v>442</v>
      </c>
      <c r="D705" s="51" t="s">
        <v>69</v>
      </c>
    </row>
    <row r="706" spans="2:4" x14ac:dyDescent="0.25">
      <c r="B706" s="50" t="s">
        <v>95</v>
      </c>
      <c r="C706" s="50">
        <v>333</v>
      </c>
      <c r="D706" s="51" t="s">
        <v>69</v>
      </c>
    </row>
    <row r="707" spans="2:4" x14ac:dyDescent="0.25">
      <c r="B707" s="50" t="s">
        <v>95</v>
      </c>
      <c r="C707" s="50">
        <v>301</v>
      </c>
      <c r="D707" s="51" t="s">
        <v>69</v>
      </c>
    </row>
    <row r="708" spans="2:4" x14ac:dyDescent="0.25">
      <c r="B708" s="50" t="s">
        <v>95</v>
      </c>
      <c r="C708" s="50">
        <v>506</v>
      </c>
      <c r="D708" s="51" t="s">
        <v>69</v>
      </c>
    </row>
    <row r="709" spans="2:4" x14ac:dyDescent="0.25">
      <c r="B709" s="50" t="s">
        <v>95</v>
      </c>
      <c r="C709" s="50">
        <v>365</v>
      </c>
      <c r="D709" s="51" t="s">
        <v>69</v>
      </c>
    </row>
    <row r="710" spans="2:4" x14ac:dyDescent="0.25">
      <c r="B710" s="50" t="s">
        <v>95</v>
      </c>
      <c r="C710" s="50">
        <v>444</v>
      </c>
      <c r="D710" s="51" t="s">
        <v>69</v>
      </c>
    </row>
    <row r="711" spans="2:4" x14ac:dyDescent="0.25">
      <c r="B711" s="50" t="s">
        <v>95</v>
      </c>
      <c r="C711" s="50">
        <v>527</v>
      </c>
      <c r="D711" s="51" t="s">
        <v>70</v>
      </c>
    </row>
    <row r="712" spans="2:4" x14ac:dyDescent="0.25">
      <c r="B712" s="50" t="s">
        <v>95</v>
      </c>
      <c r="C712" s="50">
        <v>376</v>
      </c>
      <c r="D712" s="51" t="s">
        <v>70</v>
      </c>
    </row>
    <row r="713" spans="2:4" x14ac:dyDescent="0.25">
      <c r="B713" s="50" t="s">
        <v>95</v>
      </c>
      <c r="C713" s="50">
        <v>323</v>
      </c>
      <c r="D713" s="51" t="s">
        <v>70</v>
      </c>
    </row>
    <row r="714" spans="2:4" x14ac:dyDescent="0.25">
      <c r="B714" s="50" t="s">
        <v>95</v>
      </c>
      <c r="C714" s="50">
        <v>508</v>
      </c>
      <c r="D714" s="51" t="s">
        <v>70</v>
      </c>
    </row>
    <row r="715" spans="2:4" x14ac:dyDescent="0.25">
      <c r="B715" s="50" t="s">
        <v>95</v>
      </c>
      <c r="C715" s="50">
        <v>482</v>
      </c>
      <c r="D715" s="51" t="s">
        <v>70</v>
      </c>
    </row>
    <row r="716" spans="2:4" x14ac:dyDescent="0.25">
      <c r="B716" s="50" t="s">
        <v>95</v>
      </c>
      <c r="C716" s="50">
        <v>385</v>
      </c>
      <c r="D716" s="51" t="s">
        <v>70</v>
      </c>
    </row>
    <row r="717" spans="2:4" x14ac:dyDescent="0.25">
      <c r="B717" s="50" t="s">
        <v>95</v>
      </c>
      <c r="C717" s="50">
        <v>448</v>
      </c>
      <c r="D717" s="51" t="s">
        <v>70</v>
      </c>
    </row>
    <row r="718" spans="2:4" x14ac:dyDescent="0.25">
      <c r="B718" s="50" t="s">
        <v>95</v>
      </c>
      <c r="C718" s="50">
        <v>377</v>
      </c>
      <c r="D718" s="51" t="s">
        <v>70</v>
      </c>
    </row>
    <row r="719" spans="2:4" x14ac:dyDescent="0.25">
      <c r="B719" s="50" t="s">
        <v>95</v>
      </c>
      <c r="C719" s="50">
        <v>532</v>
      </c>
      <c r="D719" s="51" t="s">
        <v>70</v>
      </c>
    </row>
    <row r="720" spans="2:4" x14ac:dyDescent="0.25">
      <c r="B720" s="50" t="s">
        <v>95</v>
      </c>
      <c r="C720" s="50">
        <v>445</v>
      </c>
      <c r="D720" s="51" t="s">
        <v>70</v>
      </c>
    </row>
    <row r="721" spans="2:4" x14ac:dyDescent="0.25">
      <c r="B721" s="50" t="s">
        <v>95</v>
      </c>
      <c r="C721" s="50">
        <v>440</v>
      </c>
      <c r="D721" s="51" t="s">
        <v>70</v>
      </c>
    </row>
    <row r="722" spans="2:4" x14ac:dyDescent="0.25">
      <c r="B722" s="50" t="s">
        <v>95</v>
      </c>
      <c r="C722" s="50">
        <v>545</v>
      </c>
      <c r="D722" s="51" t="s">
        <v>70</v>
      </c>
    </row>
    <row r="723" spans="2:4" x14ac:dyDescent="0.25">
      <c r="B723" s="50" t="s">
        <v>95</v>
      </c>
      <c r="C723" s="50">
        <v>418</v>
      </c>
      <c r="D723" s="51" t="s">
        <v>70</v>
      </c>
    </row>
    <row r="724" spans="2:4" x14ac:dyDescent="0.25">
      <c r="B724" s="50" t="s">
        <v>95</v>
      </c>
      <c r="C724" s="50">
        <v>201</v>
      </c>
      <c r="D724" s="51" t="s">
        <v>70</v>
      </c>
    </row>
    <row r="725" spans="2:4" x14ac:dyDescent="0.25">
      <c r="B725" s="50" t="s">
        <v>95</v>
      </c>
      <c r="C725" s="50">
        <v>403</v>
      </c>
      <c r="D725" s="51" t="s">
        <v>70</v>
      </c>
    </row>
    <row r="726" spans="2:4" x14ac:dyDescent="0.25">
      <c r="B726" s="50" t="s">
        <v>95</v>
      </c>
      <c r="C726" s="50">
        <v>489</v>
      </c>
      <c r="D726" s="51" t="s">
        <v>70</v>
      </c>
    </row>
    <row r="727" spans="2:4" x14ac:dyDescent="0.25">
      <c r="B727" s="50" t="s">
        <v>95</v>
      </c>
      <c r="C727" s="50">
        <v>463</v>
      </c>
      <c r="D727" s="51" t="s">
        <v>70</v>
      </c>
    </row>
    <row r="728" spans="2:4" x14ac:dyDescent="0.25">
      <c r="B728" s="50" t="s">
        <v>95</v>
      </c>
      <c r="C728" s="50">
        <v>494</v>
      </c>
      <c r="D728" s="51" t="s">
        <v>70</v>
      </c>
    </row>
    <row r="729" spans="2:4" x14ac:dyDescent="0.25">
      <c r="B729" s="50" t="s">
        <v>95</v>
      </c>
      <c r="C729" s="50">
        <v>521</v>
      </c>
      <c r="D729" s="51" t="s">
        <v>70</v>
      </c>
    </row>
    <row r="730" spans="2:4" x14ac:dyDescent="0.25">
      <c r="B730" s="50" t="s">
        <v>95</v>
      </c>
      <c r="C730" s="50">
        <v>514</v>
      </c>
      <c r="D730" s="51" t="s">
        <v>70</v>
      </c>
    </row>
    <row r="731" spans="2:4" x14ac:dyDescent="0.25">
      <c r="B731" s="50" t="s">
        <v>95</v>
      </c>
      <c r="C731" s="50">
        <v>314</v>
      </c>
      <c r="D731" s="51" t="s">
        <v>70</v>
      </c>
    </row>
    <row r="732" spans="2:4" x14ac:dyDescent="0.25">
      <c r="B732" s="50" t="s">
        <v>95</v>
      </c>
      <c r="C732" s="50">
        <v>546</v>
      </c>
      <c r="D732" s="51" t="s">
        <v>70</v>
      </c>
    </row>
    <row r="733" spans="2:4" x14ac:dyDescent="0.25">
      <c r="B733" s="50" t="s">
        <v>95</v>
      </c>
      <c r="C733" s="50">
        <v>447</v>
      </c>
      <c r="D733" s="51" t="s">
        <v>70</v>
      </c>
    </row>
    <row r="734" spans="2:4" x14ac:dyDescent="0.25">
      <c r="B734" s="50" t="s">
        <v>95</v>
      </c>
      <c r="C734" s="50">
        <v>499</v>
      </c>
      <c r="D734" s="51" t="s">
        <v>70</v>
      </c>
    </row>
    <row r="735" spans="2:4" x14ac:dyDescent="0.25">
      <c r="B735" s="50" t="s">
        <v>95</v>
      </c>
      <c r="C735" s="50">
        <v>416</v>
      </c>
      <c r="D735" s="51" t="s">
        <v>70</v>
      </c>
    </row>
    <row r="736" spans="2:4" x14ac:dyDescent="0.25">
      <c r="B736" s="50" t="s">
        <v>95</v>
      </c>
      <c r="C736" s="50">
        <v>423</v>
      </c>
      <c r="D736" s="51" t="s">
        <v>70</v>
      </c>
    </row>
    <row r="737" spans="2:4" x14ac:dyDescent="0.25">
      <c r="B737" s="50" t="s">
        <v>95</v>
      </c>
      <c r="C737" s="50">
        <v>373</v>
      </c>
      <c r="D737" s="51" t="s">
        <v>70</v>
      </c>
    </row>
    <row r="738" spans="2:4" x14ac:dyDescent="0.25">
      <c r="B738" s="50" t="s">
        <v>95</v>
      </c>
      <c r="C738" s="50">
        <v>450</v>
      </c>
      <c r="D738" s="51" t="s">
        <v>70</v>
      </c>
    </row>
    <row r="739" spans="2:4" x14ac:dyDescent="0.25">
      <c r="B739" s="50" t="s">
        <v>95</v>
      </c>
      <c r="C739" s="50">
        <v>474</v>
      </c>
      <c r="D739" s="51" t="s">
        <v>70</v>
      </c>
    </row>
    <row r="740" spans="2:4" x14ac:dyDescent="0.25">
      <c r="B740" s="50" t="s">
        <v>95</v>
      </c>
      <c r="C740" s="50">
        <v>496</v>
      </c>
      <c r="D740" s="51" t="s">
        <v>70</v>
      </c>
    </row>
    <row r="741" spans="2:4" x14ac:dyDescent="0.25">
      <c r="B741" s="50" t="s">
        <v>95</v>
      </c>
      <c r="C741" s="50">
        <v>464</v>
      </c>
      <c r="D741" s="51" t="s">
        <v>70</v>
      </c>
    </row>
    <row r="742" spans="2:4" x14ac:dyDescent="0.25">
      <c r="B742" s="50" t="s">
        <v>95</v>
      </c>
      <c r="C742" s="50">
        <v>361</v>
      </c>
      <c r="D742" s="51" t="s">
        <v>70</v>
      </c>
    </row>
    <row r="743" spans="2:4" x14ac:dyDescent="0.25">
      <c r="B743" s="50" t="s">
        <v>95</v>
      </c>
      <c r="C743" s="50">
        <v>495</v>
      </c>
      <c r="D743" s="51" t="s">
        <v>70</v>
      </c>
    </row>
    <row r="744" spans="2:4" x14ac:dyDescent="0.25">
      <c r="B744" s="50" t="s">
        <v>95</v>
      </c>
      <c r="C744" s="50">
        <v>510</v>
      </c>
      <c r="D744" s="51" t="s">
        <v>70</v>
      </c>
    </row>
    <row r="745" spans="2:4" x14ac:dyDescent="0.25">
      <c r="B745" s="50" t="s">
        <v>95</v>
      </c>
      <c r="C745" s="50">
        <v>424</v>
      </c>
      <c r="D745" s="51" t="s">
        <v>70</v>
      </c>
    </row>
    <row r="746" spans="2:4" x14ac:dyDescent="0.25">
      <c r="B746" s="50" t="s">
        <v>95</v>
      </c>
      <c r="C746" s="50">
        <v>503</v>
      </c>
      <c r="D746" s="51" t="s">
        <v>70</v>
      </c>
    </row>
    <row r="747" spans="2:4" x14ac:dyDescent="0.25">
      <c r="B747" s="50" t="s">
        <v>95</v>
      </c>
      <c r="C747" s="50">
        <v>509</v>
      </c>
      <c r="D747" s="51" t="s">
        <v>70</v>
      </c>
    </row>
    <row r="748" spans="2:4" x14ac:dyDescent="0.25">
      <c r="B748" s="50" t="s">
        <v>95</v>
      </c>
      <c r="C748" s="50">
        <v>471</v>
      </c>
      <c r="D748" s="51" t="s">
        <v>70</v>
      </c>
    </row>
    <row r="749" spans="2:4" x14ac:dyDescent="0.25">
      <c r="B749" s="50" t="s">
        <v>95</v>
      </c>
      <c r="C749" s="50">
        <v>500</v>
      </c>
      <c r="D749" s="51" t="s">
        <v>70</v>
      </c>
    </row>
    <row r="750" spans="2:4" x14ac:dyDescent="0.25">
      <c r="B750" s="50" t="s">
        <v>95</v>
      </c>
      <c r="C750" s="50">
        <v>519</v>
      </c>
      <c r="D750" s="51" t="s">
        <v>70</v>
      </c>
    </row>
    <row r="751" spans="2:4" x14ac:dyDescent="0.25">
      <c r="B751" s="50" t="s">
        <v>95</v>
      </c>
      <c r="C751" s="50">
        <v>402</v>
      </c>
      <c r="D751" s="51" t="s">
        <v>70</v>
      </c>
    </row>
    <row r="752" spans="2:4" x14ac:dyDescent="0.25">
      <c r="B752" s="50" t="s">
        <v>95</v>
      </c>
      <c r="C752" s="50">
        <v>468</v>
      </c>
      <c r="D752" s="51" t="s">
        <v>70</v>
      </c>
    </row>
    <row r="753" spans="2:4" x14ac:dyDescent="0.25">
      <c r="B753" s="50" t="s">
        <v>95</v>
      </c>
      <c r="C753" s="50">
        <v>328</v>
      </c>
      <c r="D753" s="51" t="s">
        <v>70</v>
      </c>
    </row>
    <row r="754" spans="2:4" x14ac:dyDescent="0.25">
      <c r="B754" s="50" t="s">
        <v>95</v>
      </c>
      <c r="C754" s="50">
        <v>304</v>
      </c>
      <c r="D754" s="51" t="s">
        <v>70</v>
      </c>
    </row>
    <row r="755" spans="2:4" x14ac:dyDescent="0.25">
      <c r="B755" s="50" t="s">
        <v>95</v>
      </c>
      <c r="C755" s="50">
        <v>544</v>
      </c>
      <c r="D755" s="51" t="s">
        <v>70</v>
      </c>
    </row>
    <row r="756" spans="2:4" x14ac:dyDescent="0.25">
      <c r="B756" s="50" t="s">
        <v>95</v>
      </c>
      <c r="C756" s="50">
        <v>479</v>
      </c>
      <c r="D756" s="51" t="s">
        <v>71</v>
      </c>
    </row>
    <row r="757" spans="2:4" x14ac:dyDescent="0.25">
      <c r="B757" s="50" t="s">
        <v>95</v>
      </c>
      <c r="C757" s="50">
        <v>487</v>
      </c>
      <c r="D757" s="51" t="s">
        <v>71</v>
      </c>
    </row>
    <row r="758" spans="2:4" x14ac:dyDescent="0.25">
      <c r="B758" s="50" t="s">
        <v>95</v>
      </c>
      <c r="C758" s="50">
        <v>390</v>
      </c>
      <c r="D758" s="51" t="s">
        <v>71</v>
      </c>
    </row>
    <row r="759" spans="2:4" x14ac:dyDescent="0.25">
      <c r="B759" s="50" t="s">
        <v>95</v>
      </c>
      <c r="C759" s="50">
        <v>513</v>
      </c>
      <c r="D759" s="51" t="s">
        <v>71</v>
      </c>
    </row>
    <row r="760" spans="2:4" x14ac:dyDescent="0.25">
      <c r="B760" s="50" t="s">
        <v>95</v>
      </c>
      <c r="C760" s="50">
        <v>511</v>
      </c>
      <c r="D760" s="51" t="s">
        <v>71</v>
      </c>
    </row>
    <row r="761" spans="2:4" x14ac:dyDescent="0.25">
      <c r="B761" s="50" t="s">
        <v>95</v>
      </c>
      <c r="C761" s="50">
        <v>417</v>
      </c>
      <c r="D761" s="51" t="s">
        <v>71</v>
      </c>
    </row>
    <row r="762" spans="2:4" x14ac:dyDescent="0.25">
      <c r="B762" s="50" t="s">
        <v>95</v>
      </c>
      <c r="C762" s="50">
        <v>438</v>
      </c>
      <c r="D762" s="51" t="s">
        <v>71</v>
      </c>
    </row>
    <row r="763" spans="2:4" x14ac:dyDescent="0.25">
      <c r="B763" s="50" t="s">
        <v>95</v>
      </c>
      <c r="C763" s="50">
        <v>313</v>
      </c>
      <c r="D763" s="51" t="s">
        <v>71</v>
      </c>
    </row>
    <row r="764" spans="2:4" x14ac:dyDescent="0.25">
      <c r="B764" s="50" t="s">
        <v>95</v>
      </c>
      <c r="C764" s="50">
        <v>515</v>
      </c>
      <c r="D764" s="51" t="s">
        <v>71</v>
      </c>
    </row>
    <row r="765" spans="2:4" x14ac:dyDescent="0.25">
      <c r="B765" s="50" t="s">
        <v>95</v>
      </c>
      <c r="C765" s="50">
        <v>322</v>
      </c>
      <c r="D765" s="51" t="s">
        <v>71</v>
      </c>
    </row>
    <row r="766" spans="2:4" x14ac:dyDescent="0.25">
      <c r="B766" s="50" t="s">
        <v>95</v>
      </c>
      <c r="C766" s="50">
        <v>522</v>
      </c>
      <c r="D766" s="51" t="s">
        <v>71</v>
      </c>
    </row>
    <row r="767" spans="2:4" x14ac:dyDescent="0.25">
      <c r="B767" s="50" t="s">
        <v>95</v>
      </c>
      <c r="C767" s="50">
        <v>517</v>
      </c>
      <c r="D767" s="51" t="s">
        <v>71</v>
      </c>
    </row>
    <row r="768" spans="2:4" x14ac:dyDescent="0.25">
      <c r="B768" s="50" t="s">
        <v>95</v>
      </c>
      <c r="C768" s="50">
        <v>462</v>
      </c>
      <c r="D768" s="51" t="s">
        <v>71</v>
      </c>
    </row>
    <row r="769" spans="2:4" x14ac:dyDescent="0.25">
      <c r="B769" s="50" t="s">
        <v>95</v>
      </c>
      <c r="C769" s="50">
        <v>543</v>
      </c>
      <c r="D769" s="51" t="s">
        <v>71</v>
      </c>
    </row>
    <row r="770" spans="2:4" x14ac:dyDescent="0.25">
      <c r="B770" s="50" t="s">
        <v>95</v>
      </c>
      <c r="C770" s="50">
        <v>356</v>
      </c>
      <c r="D770" s="51" t="s">
        <v>71</v>
      </c>
    </row>
    <row r="771" spans="2:4" x14ac:dyDescent="0.25">
      <c r="B771" s="50" t="s">
        <v>95</v>
      </c>
      <c r="C771" s="50">
        <v>472</v>
      </c>
      <c r="D771" s="51" t="s">
        <v>71</v>
      </c>
    </row>
    <row r="772" spans="2:4" x14ac:dyDescent="0.25">
      <c r="B772" s="50" t="s">
        <v>95</v>
      </c>
      <c r="C772" s="50">
        <v>477</v>
      </c>
      <c r="D772" s="51" t="s">
        <v>71</v>
      </c>
    </row>
    <row r="773" spans="2:4" x14ac:dyDescent="0.25">
      <c r="B773" s="50" t="s">
        <v>95</v>
      </c>
      <c r="C773" s="50">
        <v>528</v>
      </c>
      <c r="D773" s="51" t="s">
        <v>71</v>
      </c>
    </row>
    <row r="774" spans="2:4" x14ac:dyDescent="0.25">
      <c r="B774" s="50" t="s">
        <v>95</v>
      </c>
      <c r="C774" s="50">
        <v>421</v>
      </c>
      <c r="D774" s="51" t="s">
        <v>71</v>
      </c>
    </row>
    <row r="775" spans="2:4" x14ac:dyDescent="0.25">
      <c r="B775" s="50" t="s">
        <v>95</v>
      </c>
      <c r="C775" s="50">
        <v>523</v>
      </c>
      <c r="D775" s="51" t="s">
        <v>71</v>
      </c>
    </row>
    <row r="776" spans="2:4" x14ac:dyDescent="0.25">
      <c r="B776" s="50" t="s">
        <v>95</v>
      </c>
      <c r="C776" s="50">
        <v>455</v>
      </c>
      <c r="D776" s="51" t="s">
        <v>71</v>
      </c>
    </row>
    <row r="777" spans="2:4" x14ac:dyDescent="0.25">
      <c r="B777" s="50" t="s">
        <v>95</v>
      </c>
      <c r="C777" s="50">
        <v>413</v>
      </c>
      <c r="D777" s="51" t="s">
        <v>71</v>
      </c>
    </row>
    <row r="778" spans="2:4" x14ac:dyDescent="0.25">
      <c r="B778" s="50" t="s">
        <v>95</v>
      </c>
      <c r="C778" s="50">
        <v>392</v>
      </c>
      <c r="D778" s="51" t="s">
        <v>71</v>
      </c>
    </row>
    <row r="779" spans="2:4" x14ac:dyDescent="0.25">
      <c r="B779" s="50" t="s">
        <v>95</v>
      </c>
      <c r="C779" s="50">
        <v>308</v>
      </c>
      <c r="D779" s="51" t="s">
        <v>71</v>
      </c>
    </row>
    <row r="780" spans="2:4" x14ac:dyDescent="0.25">
      <c r="B780" s="50" t="s">
        <v>95</v>
      </c>
      <c r="C780" s="50">
        <v>478</v>
      </c>
      <c r="D780" s="51" t="s">
        <v>71</v>
      </c>
    </row>
    <row r="781" spans="2:4" x14ac:dyDescent="0.25">
      <c r="B781" s="50" t="s">
        <v>95</v>
      </c>
      <c r="C781" s="50">
        <v>332</v>
      </c>
      <c r="D781" s="51" t="s">
        <v>71</v>
      </c>
    </row>
    <row r="782" spans="2:4" x14ac:dyDescent="0.25">
      <c r="B782" s="50" t="s">
        <v>95</v>
      </c>
      <c r="C782" s="50">
        <v>454</v>
      </c>
      <c r="D782" s="51" t="s">
        <v>71</v>
      </c>
    </row>
    <row r="783" spans="2:4" x14ac:dyDescent="0.25">
      <c r="B783" s="50" t="s">
        <v>95</v>
      </c>
      <c r="C783" s="50">
        <v>533</v>
      </c>
      <c r="D783" s="51" t="s">
        <v>71</v>
      </c>
    </row>
    <row r="784" spans="2:4" x14ac:dyDescent="0.25">
      <c r="B784" s="50" t="s">
        <v>95</v>
      </c>
      <c r="C784" s="50">
        <v>326</v>
      </c>
      <c r="D784" s="51" t="s">
        <v>71</v>
      </c>
    </row>
    <row r="785" spans="2:4" x14ac:dyDescent="0.25">
      <c r="B785" s="50" t="s">
        <v>95</v>
      </c>
      <c r="C785" s="50">
        <v>321</v>
      </c>
      <c r="D785" s="51" t="s">
        <v>71</v>
      </c>
    </row>
    <row r="786" spans="2:4" x14ac:dyDescent="0.25">
      <c r="B786" s="50" t="s">
        <v>95</v>
      </c>
      <c r="C786" s="50">
        <v>452</v>
      </c>
      <c r="D786" s="51" t="s">
        <v>71</v>
      </c>
    </row>
    <row r="787" spans="2:4" x14ac:dyDescent="0.25">
      <c r="B787" s="50" t="s">
        <v>95</v>
      </c>
      <c r="C787" s="50">
        <v>393</v>
      </c>
      <c r="D787" s="51" t="s">
        <v>71</v>
      </c>
    </row>
    <row r="788" spans="2:4" x14ac:dyDescent="0.25">
      <c r="B788" s="50" t="s">
        <v>95</v>
      </c>
      <c r="C788" s="50">
        <v>488</v>
      </c>
      <c r="D788" s="51" t="s">
        <v>71</v>
      </c>
    </row>
    <row r="789" spans="2:4" x14ac:dyDescent="0.25">
      <c r="B789" s="50" t="s">
        <v>95</v>
      </c>
      <c r="C789" s="50">
        <v>505</v>
      </c>
      <c r="D789" s="51" t="s">
        <v>71</v>
      </c>
    </row>
    <row r="790" spans="2:4" x14ac:dyDescent="0.25">
      <c r="B790" s="50" t="s">
        <v>95</v>
      </c>
      <c r="C790" s="50">
        <v>331</v>
      </c>
      <c r="D790" s="51" t="s">
        <v>71</v>
      </c>
    </row>
    <row r="791" spans="2:4" x14ac:dyDescent="0.25">
      <c r="B791" s="50" t="s">
        <v>95</v>
      </c>
      <c r="C791" s="50">
        <v>490</v>
      </c>
      <c r="D791" s="51" t="s">
        <v>71</v>
      </c>
    </row>
    <row r="792" spans="2:4" x14ac:dyDescent="0.25">
      <c r="B792" s="50" t="s">
        <v>95</v>
      </c>
      <c r="C792" s="50">
        <v>538</v>
      </c>
      <c r="D792" s="51" t="s">
        <v>71</v>
      </c>
    </row>
    <row r="793" spans="2:4" x14ac:dyDescent="0.25">
      <c r="B793" s="50" t="s">
        <v>95</v>
      </c>
      <c r="C793" s="50">
        <v>531</v>
      </c>
      <c r="D793" s="51" t="s">
        <v>71</v>
      </c>
    </row>
    <row r="794" spans="2:4" x14ac:dyDescent="0.25">
      <c r="B794" s="50" t="s">
        <v>95</v>
      </c>
      <c r="C794" s="50">
        <v>501</v>
      </c>
      <c r="D794" s="51" t="s">
        <v>71</v>
      </c>
    </row>
    <row r="795" spans="2:4" x14ac:dyDescent="0.25">
      <c r="B795" s="50" t="s">
        <v>95</v>
      </c>
      <c r="C795" s="50">
        <v>467</v>
      </c>
      <c r="D795" s="51" t="s">
        <v>71</v>
      </c>
    </row>
    <row r="796" spans="2:4" x14ac:dyDescent="0.25">
      <c r="B796" s="50" t="s">
        <v>95</v>
      </c>
      <c r="C796" s="50">
        <v>405</v>
      </c>
      <c r="D796" s="51" t="s">
        <v>71</v>
      </c>
    </row>
    <row r="797" spans="2:4" x14ac:dyDescent="0.25">
      <c r="B797" s="50" t="s">
        <v>95</v>
      </c>
      <c r="C797" s="50">
        <v>540</v>
      </c>
      <c r="D797" s="51" t="s">
        <v>71</v>
      </c>
    </row>
    <row r="798" spans="2:4" x14ac:dyDescent="0.25">
      <c r="B798" s="50" t="s">
        <v>95</v>
      </c>
      <c r="C798" s="50">
        <v>497</v>
      </c>
      <c r="D798" s="51" t="s">
        <v>71</v>
      </c>
    </row>
    <row r="799" spans="2:4" x14ac:dyDescent="0.25">
      <c r="B799" s="50" t="s">
        <v>95</v>
      </c>
      <c r="C799" s="50">
        <v>407</v>
      </c>
      <c r="D799" s="51" t="s">
        <v>71</v>
      </c>
    </row>
    <row r="800" spans="2:4" x14ac:dyDescent="0.25">
      <c r="B800" s="50" t="s">
        <v>95</v>
      </c>
      <c r="C800" s="50">
        <v>358</v>
      </c>
      <c r="D800" s="51" t="s">
        <v>71</v>
      </c>
    </row>
    <row r="801" spans="2:4" x14ac:dyDescent="0.25">
      <c r="B801" s="50" t="s">
        <v>95</v>
      </c>
      <c r="C801" s="50">
        <v>504</v>
      </c>
      <c r="D801" s="51" t="s">
        <v>71</v>
      </c>
    </row>
    <row r="802" spans="2:4" x14ac:dyDescent="0.25">
      <c r="B802" s="50" t="s">
        <v>95</v>
      </c>
      <c r="C802" s="50">
        <v>433</v>
      </c>
      <c r="D802" s="51" t="s">
        <v>71</v>
      </c>
    </row>
    <row r="803" spans="2:4" x14ac:dyDescent="0.25">
      <c r="B803" s="50" t="s">
        <v>95</v>
      </c>
      <c r="C803" s="50">
        <v>526</v>
      </c>
      <c r="D803" s="51" t="s">
        <v>71</v>
      </c>
    </row>
    <row r="804" spans="2:4" x14ac:dyDescent="0.25">
      <c r="B804" s="50" t="s">
        <v>95</v>
      </c>
      <c r="C804" s="50">
        <v>529</v>
      </c>
      <c r="D804" s="51" t="s">
        <v>71</v>
      </c>
    </row>
    <row r="805" spans="2:4" x14ac:dyDescent="0.25">
      <c r="B805" s="50" t="s">
        <v>95</v>
      </c>
      <c r="C805" s="50">
        <v>415</v>
      </c>
      <c r="D805" s="51" t="s">
        <v>71</v>
      </c>
    </row>
    <row r="806" spans="2:4" x14ac:dyDescent="0.25">
      <c r="B806" s="50" t="s">
        <v>95</v>
      </c>
      <c r="C806" s="50">
        <v>370</v>
      </c>
      <c r="D806" s="51" t="s">
        <v>71</v>
      </c>
    </row>
    <row r="807" spans="2:4" x14ac:dyDescent="0.25">
      <c r="B807" s="50" t="s">
        <v>95</v>
      </c>
      <c r="C807" s="50">
        <v>518</v>
      </c>
      <c r="D807" s="51" t="s">
        <v>71</v>
      </c>
    </row>
    <row r="808" spans="2:4" x14ac:dyDescent="0.25">
      <c r="B808" s="50" t="s">
        <v>95</v>
      </c>
      <c r="C808" s="50">
        <v>429</v>
      </c>
      <c r="D808" s="51" t="s">
        <v>71</v>
      </c>
    </row>
    <row r="809" spans="2:4" x14ac:dyDescent="0.25">
      <c r="B809" s="50" t="s">
        <v>95</v>
      </c>
      <c r="C809" s="50">
        <v>537</v>
      </c>
      <c r="D809" s="51" t="s">
        <v>71</v>
      </c>
    </row>
    <row r="810" spans="2:4" x14ac:dyDescent="0.25">
      <c r="B810" s="50" t="s">
        <v>95</v>
      </c>
      <c r="C810" s="50">
        <v>397</v>
      </c>
      <c r="D810" s="51" t="s">
        <v>71</v>
      </c>
    </row>
    <row r="811" spans="2:4" x14ac:dyDescent="0.25">
      <c r="B811" s="50" t="s">
        <v>95</v>
      </c>
      <c r="C811" s="50">
        <v>493</v>
      </c>
      <c r="D811" s="51" t="s">
        <v>71</v>
      </c>
    </row>
    <row r="812" spans="2:4" x14ac:dyDescent="0.25">
      <c r="B812" s="50" t="s">
        <v>95</v>
      </c>
      <c r="C812" s="50">
        <v>516</v>
      </c>
      <c r="D812" s="51" t="s">
        <v>71</v>
      </c>
    </row>
    <row r="813" spans="2:4" x14ac:dyDescent="0.25">
      <c r="B813" s="50" t="s">
        <v>95</v>
      </c>
      <c r="C813" s="50">
        <v>475</v>
      </c>
      <c r="D813" s="51" t="s">
        <v>72</v>
      </c>
    </row>
    <row r="814" spans="2:4" x14ac:dyDescent="0.25">
      <c r="B814" s="50" t="s">
        <v>95</v>
      </c>
      <c r="C814" s="50">
        <v>502</v>
      </c>
      <c r="D814" s="51" t="s">
        <v>72</v>
      </c>
    </row>
    <row r="815" spans="2:4" x14ac:dyDescent="0.25">
      <c r="B815" s="50" t="s">
        <v>95</v>
      </c>
      <c r="C815" s="50">
        <v>428</v>
      </c>
      <c r="D815" s="51" t="s">
        <v>72</v>
      </c>
    </row>
    <row r="816" spans="2:4" x14ac:dyDescent="0.25">
      <c r="B816" s="50" t="s">
        <v>95</v>
      </c>
      <c r="C816" s="50">
        <v>541</v>
      </c>
      <c r="D816" s="51" t="s">
        <v>72</v>
      </c>
    </row>
    <row r="817" spans="2:4" x14ac:dyDescent="0.25">
      <c r="B817" s="50" t="s">
        <v>95</v>
      </c>
      <c r="C817" s="50">
        <v>319</v>
      </c>
      <c r="D817" s="51" t="s">
        <v>72</v>
      </c>
    </row>
    <row r="818" spans="2:4" x14ac:dyDescent="0.25">
      <c r="B818" s="50" t="s">
        <v>95</v>
      </c>
      <c r="C818" s="50">
        <v>422</v>
      </c>
      <c r="D818" s="51" t="s">
        <v>72</v>
      </c>
    </row>
    <row r="819" spans="2:4" x14ac:dyDescent="0.25">
      <c r="B819" s="50" t="s">
        <v>95</v>
      </c>
      <c r="C819" s="50">
        <v>484</v>
      </c>
      <c r="D819" s="51" t="s">
        <v>72</v>
      </c>
    </row>
    <row r="820" spans="2:4" x14ac:dyDescent="0.25">
      <c r="B820" s="50" t="s">
        <v>95</v>
      </c>
      <c r="C820" s="50">
        <v>334</v>
      </c>
      <c r="D820" s="51" t="s">
        <v>72</v>
      </c>
    </row>
    <row r="821" spans="2:4" x14ac:dyDescent="0.25">
      <c r="B821" s="50" t="s">
        <v>95</v>
      </c>
      <c r="C821" s="50">
        <v>456</v>
      </c>
      <c r="D821" s="51" t="s">
        <v>72</v>
      </c>
    </row>
    <row r="822" spans="2:4" x14ac:dyDescent="0.25">
      <c r="B822" s="50" t="s">
        <v>95</v>
      </c>
      <c r="C822" s="50">
        <v>335</v>
      </c>
      <c r="D822" s="51" t="s">
        <v>72</v>
      </c>
    </row>
    <row r="823" spans="2:4" x14ac:dyDescent="0.25">
      <c r="B823" s="50" t="s">
        <v>95</v>
      </c>
      <c r="C823" s="50">
        <v>432</v>
      </c>
      <c r="D823" s="51" t="s">
        <v>72</v>
      </c>
    </row>
    <row r="824" spans="2:4" x14ac:dyDescent="0.25">
      <c r="B824" s="50" t="s">
        <v>95</v>
      </c>
      <c r="C824" s="50">
        <v>406</v>
      </c>
      <c r="D824" s="51" t="s">
        <v>72</v>
      </c>
    </row>
    <row r="825" spans="2:4" x14ac:dyDescent="0.25">
      <c r="B825" s="50" t="s">
        <v>95</v>
      </c>
      <c r="C825" s="50">
        <v>536</v>
      </c>
      <c r="D825" s="51" t="s">
        <v>72</v>
      </c>
    </row>
    <row r="826" spans="2:4" x14ac:dyDescent="0.25">
      <c r="B826" s="50" t="s">
        <v>95</v>
      </c>
      <c r="C826" s="50">
        <v>491</v>
      </c>
      <c r="D826" s="51" t="s">
        <v>72</v>
      </c>
    </row>
    <row r="827" spans="2:4" x14ac:dyDescent="0.25">
      <c r="B827" s="50" t="s">
        <v>95</v>
      </c>
      <c r="C827" s="50">
        <v>317</v>
      </c>
      <c r="D827" s="51" t="s">
        <v>72</v>
      </c>
    </row>
    <row r="828" spans="2:4" x14ac:dyDescent="0.25">
      <c r="B828" s="50" t="s">
        <v>95</v>
      </c>
      <c r="C828" s="50">
        <v>481</v>
      </c>
      <c r="D828" s="51" t="s">
        <v>72</v>
      </c>
    </row>
    <row r="829" spans="2:4" x14ac:dyDescent="0.25">
      <c r="B829" s="50" t="s">
        <v>95</v>
      </c>
      <c r="C829" s="50">
        <v>465</v>
      </c>
      <c r="D829" s="51" t="s">
        <v>72</v>
      </c>
    </row>
    <row r="830" spans="2:4" x14ac:dyDescent="0.25">
      <c r="B830" s="50" t="s">
        <v>95</v>
      </c>
      <c r="C830" s="50">
        <v>305</v>
      </c>
      <c r="D830" s="51" t="s">
        <v>72</v>
      </c>
    </row>
    <row r="831" spans="2:4" x14ac:dyDescent="0.25">
      <c r="B831" s="50" t="s">
        <v>95</v>
      </c>
      <c r="C831" s="50">
        <v>492</v>
      </c>
      <c r="D831" s="51" t="s">
        <v>72</v>
      </c>
    </row>
    <row r="832" spans="2:4" x14ac:dyDescent="0.25">
      <c r="B832" s="50" t="s">
        <v>95</v>
      </c>
      <c r="C832" s="50">
        <v>507</v>
      </c>
      <c r="D832" s="51" t="s">
        <v>72</v>
      </c>
    </row>
    <row r="833" spans="2:4" x14ac:dyDescent="0.25">
      <c r="B833" s="50" t="s">
        <v>95</v>
      </c>
      <c r="C833" s="50">
        <v>436</v>
      </c>
      <c r="D833" s="51" t="s">
        <v>73</v>
      </c>
    </row>
    <row r="834" spans="2:4" x14ac:dyDescent="0.25">
      <c r="B834" s="50" t="s">
        <v>95</v>
      </c>
      <c r="C834" s="50">
        <v>347</v>
      </c>
      <c r="D834" s="51" t="s">
        <v>73</v>
      </c>
    </row>
    <row r="835" spans="2:4" x14ac:dyDescent="0.25">
      <c r="B835" s="50" t="s">
        <v>95</v>
      </c>
      <c r="C835" s="50">
        <v>451</v>
      </c>
      <c r="D835" s="51" t="s">
        <v>73</v>
      </c>
    </row>
    <row r="836" spans="2:4" x14ac:dyDescent="0.25">
      <c r="B836" s="50" t="s">
        <v>95</v>
      </c>
      <c r="C836" s="50">
        <v>520</v>
      </c>
      <c r="D836" s="51" t="s">
        <v>73</v>
      </c>
    </row>
    <row r="837" spans="2:4" x14ac:dyDescent="0.25">
      <c r="B837" s="50" t="s">
        <v>95</v>
      </c>
      <c r="C837" s="50">
        <v>539</v>
      </c>
      <c r="D837" s="51" t="s">
        <v>73</v>
      </c>
    </row>
    <row r="838" spans="2:4" x14ac:dyDescent="0.25">
      <c r="B838" s="50" t="s">
        <v>96</v>
      </c>
      <c r="C838" s="50">
        <v>400</v>
      </c>
      <c r="D838" s="51" t="s">
        <v>67</v>
      </c>
    </row>
    <row r="839" spans="2:4" x14ac:dyDescent="0.25">
      <c r="B839" s="50" t="s">
        <v>96</v>
      </c>
      <c r="C839" s="50">
        <v>420</v>
      </c>
      <c r="D839" s="51" t="s">
        <v>68</v>
      </c>
    </row>
    <row r="840" spans="2:4" x14ac:dyDescent="0.25">
      <c r="B840" s="50" t="s">
        <v>96</v>
      </c>
      <c r="C840" s="50">
        <v>362</v>
      </c>
      <c r="D840" s="51" t="s">
        <v>68</v>
      </c>
    </row>
    <row r="841" spans="2:4" x14ac:dyDescent="0.25">
      <c r="B841" s="50" t="s">
        <v>96</v>
      </c>
      <c r="C841" s="50">
        <v>399</v>
      </c>
      <c r="D841" s="51" t="s">
        <v>68</v>
      </c>
    </row>
    <row r="842" spans="2:4" x14ac:dyDescent="0.25">
      <c r="B842" s="50" t="s">
        <v>96</v>
      </c>
      <c r="C842" s="50">
        <v>469</v>
      </c>
      <c r="D842" s="51" t="s">
        <v>68</v>
      </c>
    </row>
    <row r="843" spans="2:4" x14ac:dyDescent="0.25">
      <c r="B843" s="50" t="s">
        <v>96</v>
      </c>
      <c r="C843" s="50">
        <v>306</v>
      </c>
      <c r="D843" s="51" t="s">
        <v>68</v>
      </c>
    </row>
    <row r="844" spans="2:4" x14ac:dyDescent="0.25">
      <c r="B844" s="50" t="s">
        <v>96</v>
      </c>
      <c r="C844" s="50">
        <v>442</v>
      </c>
      <c r="D844" s="51" t="s">
        <v>69</v>
      </c>
    </row>
    <row r="845" spans="2:4" x14ac:dyDescent="0.25">
      <c r="B845" s="50" t="s">
        <v>96</v>
      </c>
      <c r="C845" s="50">
        <v>471</v>
      </c>
      <c r="D845" s="51" t="s">
        <v>69</v>
      </c>
    </row>
    <row r="846" spans="2:4" x14ac:dyDescent="0.25">
      <c r="B846" s="50" t="s">
        <v>96</v>
      </c>
      <c r="C846" s="50">
        <v>301</v>
      </c>
      <c r="D846" s="51" t="s">
        <v>69</v>
      </c>
    </row>
    <row r="847" spans="2:4" x14ac:dyDescent="0.25">
      <c r="B847" s="50" t="s">
        <v>96</v>
      </c>
      <c r="C847" s="50">
        <v>418</v>
      </c>
      <c r="D847" s="51" t="s">
        <v>69</v>
      </c>
    </row>
    <row r="848" spans="2:4" x14ac:dyDescent="0.25">
      <c r="B848" s="50" t="s">
        <v>96</v>
      </c>
      <c r="C848" s="50">
        <v>444</v>
      </c>
      <c r="D848" s="51" t="s">
        <v>69</v>
      </c>
    </row>
    <row r="849" spans="2:4" x14ac:dyDescent="0.25">
      <c r="B849" s="50" t="s">
        <v>96</v>
      </c>
      <c r="C849" s="50">
        <v>445</v>
      </c>
      <c r="D849" s="51" t="s">
        <v>69</v>
      </c>
    </row>
    <row r="850" spans="2:4" x14ac:dyDescent="0.25">
      <c r="B850" s="50" t="s">
        <v>96</v>
      </c>
      <c r="C850" s="50">
        <v>506</v>
      </c>
      <c r="D850" s="51" t="s">
        <v>70</v>
      </c>
    </row>
    <row r="851" spans="2:4" x14ac:dyDescent="0.25">
      <c r="B851" s="50" t="s">
        <v>96</v>
      </c>
      <c r="C851" s="50">
        <v>365</v>
      </c>
      <c r="D851" s="51" t="s">
        <v>70</v>
      </c>
    </row>
    <row r="852" spans="2:4" x14ac:dyDescent="0.25">
      <c r="B852" s="50" t="s">
        <v>96</v>
      </c>
      <c r="C852" s="50">
        <v>440</v>
      </c>
      <c r="D852" s="51" t="s">
        <v>70</v>
      </c>
    </row>
    <row r="853" spans="2:4" x14ac:dyDescent="0.25">
      <c r="B853" s="50" t="s">
        <v>96</v>
      </c>
      <c r="C853" s="50">
        <v>545</v>
      </c>
      <c r="D853" s="51" t="s">
        <v>70</v>
      </c>
    </row>
    <row r="854" spans="2:4" x14ac:dyDescent="0.25">
      <c r="B854" s="50" t="s">
        <v>96</v>
      </c>
      <c r="C854" s="50">
        <v>500</v>
      </c>
      <c r="D854" s="51" t="s">
        <v>70</v>
      </c>
    </row>
    <row r="855" spans="2:4" x14ac:dyDescent="0.25">
      <c r="B855" s="50" t="s">
        <v>96</v>
      </c>
      <c r="C855" s="50">
        <v>482</v>
      </c>
      <c r="D855" s="51" t="s">
        <v>70</v>
      </c>
    </row>
    <row r="856" spans="2:4" x14ac:dyDescent="0.25">
      <c r="B856" s="50" t="s">
        <v>96</v>
      </c>
      <c r="C856" s="50">
        <v>510</v>
      </c>
      <c r="D856" s="51" t="s">
        <v>70</v>
      </c>
    </row>
    <row r="857" spans="2:4" x14ac:dyDescent="0.25">
      <c r="B857" s="50" t="s">
        <v>96</v>
      </c>
      <c r="C857" s="50">
        <v>499</v>
      </c>
      <c r="D857" s="51" t="s">
        <v>70</v>
      </c>
    </row>
    <row r="858" spans="2:4" x14ac:dyDescent="0.25">
      <c r="B858" s="50" t="s">
        <v>96</v>
      </c>
      <c r="C858" s="50">
        <v>377</v>
      </c>
      <c r="D858" s="51" t="s">
        <v>70</v>
      </c>
    </row>
    <row r="859" spans="2:4" x14ac:dyDescent="0.25">
      <c r="B859" s="50" t="s">
        <v>96</v>
      </c>
      <c r="C859" s="50">
        <v>376</v>
      </c>
      <c r="D859" s="51" t="s">
        <v>70</v>
      </c>
    </row>
    <row r="860" spans="2:4" x14ac:dyDescent="0.25">
      <c r="B860" s="50" t="s">
        <v>96</v>
      </c>
      <c r="C860" s="50">
        <v>323</v>
      </c>
      <c r="D860" s="51" t="s">
        <v>70</v>
      </c>
    </row>
    <row r="861" spans="2:4" x14ac:dyDescent="0.25">
      <c r="B861" s="50" t="s">
        <v>96</v>
      </c>
      <c r="C861" s="50">
        <v>333</v>
      </c>
      <c r="D861" s="51" t="s">
        <v>70</v>
      </c>
    </row>
    <row r="862" spans="2:4" x14ac:dyDescent="0.25">
      <c r="B862" s="50" t="s">
        <v>96</v>
      </c>
      <c r="C862" s="50">
        <v>515</v>
      </c>
      <c r="D862" s="51" t="s">
        <v>70</v>
      </c>
    </row>
    <row r="863" spans="2:4" x14ac:dyDescent="0.25">
      <c r="B863" s="50" t="s">
        <v>96</v>
      </c>
      <c r="C863" s="50">
        <v>463</v>
      </c>
      <c r="D863" s="51" t="s">
        <v>70</v>
      </c>
    </row>
    <row r="864" spans="2:4" x14ac:dyDescent="0.25">
      <c r="B864" s="50" t="s">
        <v>96</v>
      </c>
      <c r="C864" s="50">
        <v>448</v>
      </c>
      <c r="D864" s="51" t="s">
        <v>70</v>
      </c>
    </row>
    <row r="865" spans="2:4" x14ac:dyDescent="0.25">
      <c r="B865" s="50" t="s">
        <v>96</v>
      </c>
      <c r="C865" s="50">
        <v>517</v>
      </c>
      <c r="D865" s="51" t="s">
        <v>70</v>
      </c>
    </row>
    <row r="866" spans="2:4" x14ac:dyDescent="0.25">
      <c r="B866" s="50" t="s">
        <v>96</v>
      </c>
      <c r="C866" s="50">
        <v>527</v>
      </c>
      <c r="D866" s="51" t="s">
        <v>70</v>
      </c>
    </row>
    <row r="867" spans="2:4" x14ac:dyDescent="0.25">
      <c r="B867" s="50" t="s">
        <v>96</v>
      </c>
      <c r="C867" s="50">
        <v>373</v>
      </c>
      <c r="D867" s="51" t="s">
        <v>70</v>
      </c>
    </row>
    <row r="868" spans="2:4" x14ac:dyDescent="0.25">
      <c r="B868" s="50" t="s">
        <v>96</v>
      </c>
      <c r="C868" s="50">
        <v>433</v>
      </c>
      <c r="D868" s="51" t="s">
        <v>70</v>
      </c>
    </row>
    <row r="869" spans="2:4" x14ac:dyDescent="0.25">
      <c r="B869" s="50" t="s">
        <v>96</v>
      </c>
      <c r="C869" s="50">
        <v>508</v>
      </c>
      <c r="D869" s="51" t="s">
        <v>70</v>
      </c>
    </row>
    <row r="870" spans="2:4" x14ac:dyDescent="0.25">
      <c r="B870" s="50" t="s">
        <v>96</v>
      </c>
      <c r="C870" s="50">
        <v>503</v>
      </c>
      <c r="D870" s="51" t="s">
        <v>70</v>
      </c>
    </row>
    <row r="871" spans="2:4" x14ac:dyDescent="0.25">
      <c r="B871" s="50" t="s">
        <v>96</v>
      </c>
      <c r="C871" s="50">
        <v>509</v>
      </c>
      <c r="D871" s="51" t="s">
        <v>70</v>
      </c>
    </row>
    <row r="872" spans="2:4" x14ac:dyDescent="0.25">
      <c r="B872" s="50" t="s">
        <v>96</v>
      </c>
      <c r="C872" s="50">
        <v>521</v>
      </c>
      <c r="D872" s="51" t="s">
        <v>70</v>
      </c>
    </row>
    <row r="873" spans="2:4" x14ac:dyDescent="0.25">
      <c r="B873" s="50" t="s">
        <v>96</v>
      </c>
      <c r="C873" s="50">
        <v>313</v>
      </c>
      <c r="D873" s="51" t="s">
        <v>70</v>
      </c>
    </row>
    <row r="874" spans="2:4" x14ac:dyDescent="0.25">
      <c r="B874" s="50" t="s">
        <v>96</v>
      </c>
      <c r="C874" s="50">
        <v>403</v>
      </c>
      <c r="D874" s="51" t="s">
        <v>70</v>
      </c>
    </row>
    <row r="875" spans="2:4" x14ac:dyDescent="0.25">
      <c r="B875" s="50" t="s">
        <v>96</v>
      </c>
      <c r="C875" s="50">
        <v>423</v>
      </c>
      <c r="D875" s="51" t="s">
        <v>70</v>
      </c>
    </row>
    <row r="876" spans="2:4" x14ac:dyDescent="0.25">
      <c r="B876" s="50" t="s">
        <v>96</v>
      </c>
      <c r="C876" s="50">
        <v>447</v>
      </c>
      <c r="D876" s="51" t="s">
        <v>70</v>
      </c>
    </row>
    <row r="877" spans="2:4" x14ac:dyDescent="0.25">
      <c r="B877" s="50" t="s">
        <v>96</v>
      </c>
      <c r="C877" s="50">
        <v>496</v>
      </c>
      <c r="D877" s="51" t="s">
        <v>70</v>
      </c>
    </row>
    <row r="878" spans="2:4" x14ac:dyDescent="0.25">
      <c r="B878" s="50" t="s">
        <v>96</v>
      </c>
      <c r="C878" s="50">
        <v>450</v>
      </c>
      <c r="D878" s="51" t="s">
        <v>70</v>
      </c>
    </row>
    <row r="879" spans="2:4" x14ac:dyDescent="0.25">
      <c r="B879" s="50" t="s">
        <v>96</v>
      </c>
      <c r="C879" s="50">
        <v>464</v>
      </c>
      <c r="D879" s="51" t="s">
        <v>70</v>
      </c>
    </row>
    <row r="880" spans="2:4" x14ac:dyDescent="0.25">
      <c r="B880" s="50" t="s">
        <v>96</v>
      </c>
      <c r="C880" s="50">
        <v>385</v>
      </c>
      <c r="D880" s="51" t="s">
        <v>70</v>
      </c>
    </row>
    <row r="881" spans="2:4" x14ac:dyDescent="0.25">
      <c r="B881" s="50" t="s">
        <v>96</v>
      </c>
      <c r="C881" s="50">
        <v>468</v>
      </c>
      <c r="D881" s="51" t="s">
        <v>70</v>
      </c>
    </row>
    <row r="882" spans="2:4" x14ac:dyDescent="0.25">
      <c r="B882" s="50" t="s">
        <v>96</v>
      </c>
      <c r="C882" s="50">
        <v>519</v>
      </c>
      <c r="D882" s="51" t="s">
        <v>70</v>
      </c>
    </row>
    <row r="883" spans="2:4" x14ac:dyDescent="0.25">
      <c r="B883" s="50" t="s">
        <v>96</v>
      </c>
      <c r="C883" s="50">
        <v>361</v>
      </c>
      <c r="D883" s="51" t="s">
        <v>70</v>
      </c>
    </row>
    <row r="884" spans="2:4" x14ac:dyDescent="0.25">
      <c r="B884" s="50" t="s">
        <v>96</v>
      </c>
      <c r="C884" s="50">
        <v>417</v>
      </c>
      <c r="D884" s="51" t="s">
        <v>70</v>
      </c>
    </row>
    <row r="885" spans="2:4" x14ac:dyDescent="0.25">
      <c r="B885" s="50" t="s">
        <v>96</v>
      </c>
      <c r="C885" s="50">
        <v>472</v>
      </c>
      <c r="D885" s="51" t="s">
        <v>70</v>
      </c>
    </row>
    <row r="886" spans="2:4" x14ac:dyDescent="0.25">
      <c r="B886" s="50" t="s">
        <v>96</v>
      </c>
      <c r="C886" s="50">
        <v>533</v>
      </c>
      <c r="D886" s="51" t="s">
        <v>70</v>
      </c>
    </row>
    <row r="887" spans="2:4" x14ac:dyDescent="0.25">
      <c r="B887" s="50" t="s">
        <v>96</v>
      </c>
      <c r="C887" s="50">
        <v>397</v>
      </c>
      <c r="D887" s="51" t="s">
        <v>70</v>
      </c>
    </row>
    <row r="888" spans="2:4" x14ac:dyDescent="0.25">
      <c r="B888" s="50" t="s">
        <v>96</v>
      </c>
      <c r="C888" s="50">
        <v>415</v>
      </c>
      <c r="D888" s="51" t="s">
        <v>70</v>
      </c>
    </row>
    <row r="889" spans="2:4" x14ac:dyDescent="0.25">
      <c r="B889" s="50" t="s">
        <v>96</v>
      </c>
      <c r="C889" s="50">
        <v>478</v>
      </c>
      <c r="D889" s="51" t="s">
        <v>70</v>
      </c>
    </row>
    <row r="890" spans="2:4" x14ac:dyDescent="0.25">
      <c r="B890" s="50" t="s">
        <v>96</v>
      </c>
      <c r="C890" s="50">
        <v>523</v>
      </c>
      <c r="D890" s="51" t="s">
        <v>70</v>
      </c>
    </row>
    <row r="891" spans="2:4" x14ac:dyDescent="0.25">
      <c r="B891" s="50" t="s">
        <v>96</v>
      </c>
      <c r="C891" s="50">
        <v>543</v>
      </c>
      <c r="D891" s="51" t="s">
        <v>70</v>
      </c>
    </row>
    <row r="892" spans="2:4" x14ac:dyDescent="0.25">
      <c r="B892" s="50" t="s">
        <v>96</v>
      </c>
      <c r="C892" s="50">
        <v>328</v>
      </c>
      <c r="D892" s="51" t="s">
        <v>70</v>
      </c>
    </row>
    <row r="893" spans="2:4" x14ac:dyDescent="0.25">
      <c r="B893" s="50" t="s">
        <v>96</v>
      </c>
      <c r="C893" s="50">
        <v>532</v>
      </c>
      <c r="D893" s="51" t="s">
        <v>70</v>
      </c>
    </row>
    <row r="894" spans="2:4" x14ac:dyDescent="0.25">
      <c r="B894" s="50" t="s">
        <v>96</v>
      </c>
      <c r="C894" s="50">
        <v>424</v>
      </c>
      <c r="D894" s="51" t="s">
        <v>70</v>
      </c>
    </row>
    <row r="895" spans="2:4" x14ac:dyDescent="0.25">
      <c r="B895" s="50" t="s">
        <v>96</v>
      </c>
      <c r="C895" s="50">
        <v>479</v>
      </c>
      <c r="D895" s="51" t="s">
        <v>71</v>
      </c>
    </row>
    <row r="896" spans="2:4" x14ac:dyDescent="0.25">
      <c r="B896" s="50" t="s">
        <v>96</v>
      </c>
      <c r="C896" s="50">
        <v>416</v>
      </c>
      <c r="D896" s="51" t="s">
        <v>71</v>
      </c>
    </row>
    <row r="897" spans="2:4" x14ac:dyDescent="0.25">
      <c r="B897" s="50" t="s">
        <v>96</v>
      </c>
      <c r="C897" s="50">
        <v>390</v>
      </c>
      <c r="D897" s="51" t="s">
        <v>71</v>
      </c>
    </row>
    <row r="898" spans="2:4" x14ac:dyDescent="0.25">
      <c r="B898" s="50" t="s">
        <v>96</v>
      </c>
      <c r="C898" s="50">
        <v>392</v>
      </c>
      <c r="D898" s="51" t="s">
        <v>71</v>
      </c>
    </row>
    <row r="899" spans="2:4" x14ac:dyDescent="0.25">
      <c r="B899" s="50" t="s">
        <v>96</v>
      </c>
      <c r="C899" s="50">
        <v>493</v>
      </c>
      <c r="D899" s="51" t="s">
        <v>71</v>
      </c>
    </row>
    <row r="900" spans="2:4" x14ac:dyDescent="0.25">
      <c r="B900" s="50" t="s">
        <v>96</v>
      </c>
      <c r="C900" s="50">
        <v>495</v>
      </c>
      <c r="D900" s="51" t="s">
        <v>71</v>
      </c>
    </row>
    <row r="901" spans="2:4" x14ac:dyDescent="0.25">
      <c r="B901" s="50" t="s">
        <v>96</v>
      </c>
      <c r="C901" s="50">
        <v>332</v>
      </c>
      <c r="D901" s="51" t="s">
        <v>71</v>
      </c>
    </row>
    <row r="902" spans="2:4" x14ac:dyDescent="0.25">
      <c r="B902" s="50" t="s">
        <v>96</v>
      </c>
      <c r="C902" s="50">
        <v>518</v>
      </c>
      <c r="D902" s="51" t="s">
        <v>71</v>
      </c>
    </row>
    <row r="903" spans="2:4" x14ac:dyDescent="0.25">
      <c r="B903" s="50" t="s">
        <v>96</v>
      </c>
      <c r="C903" s="50">
        <v>356</v>
      </c>
      <c r="D903" s="51" t="s">
        <v>71</v>
      </c>
    </row>
    <row r="904" spans="2:4" x14ac:dyDescent="0.25">
      <c r="B904" s="50" t="s">
        <v>96</v>
      </c>
      <c r="C904" s="50">
        <v>490</v>
      </c>
      <c r="D904" s="51" t="s">
        <v>71</v>
      </c>
    </row>
    <row r="905" spans="2:4" x14ac:dyDescent="0.25">
      <c r="B905" s="50" t="s">
        <v>96</v>
      </c>
      <c r="C905" s="50">
        <v>513</v>
      </c>
      <c r="D905" s="51" t="s">
        <v>71</v>
      </c>
    </row>
    <row r="906" spans="2:4" x14ac:dyDescent="0.25">
      <c r="B906" s="50" t="s">
        <v>96</v>
      </c>
      <c r="C906" s="50">
        <v>454</v>
      </c>
      <c r="D906" s="51" t="s">
        <v>71</v>
      </c>
    </row>
    <row r="907" spans="2:4" x14ac:dyDescent="0.25">
      <c r="B907" s="50" t="s">
        <v>96</v>
      </c>
      <c r="C907" s="50">
        <v>438</v>
      </c>
      <c r="D907" s="51" t="s">
        <v>71</v>
      </c>
    </row>
    <row r="908" spans="2:4" x14ac:dyDescent="0.25">
      <c r="B908" s="50" t="s">
        <v>96</v>
      </c>
      <c r="C908" s="50">
        <v>314</v>
      </c>
      <c r="D908" s="51" t="s">
        <v>71</v>
      </c>
    </row>
    <row r="909" spans="2:4" x14ac:dyDescent="0.25">
      <c r="B909" s="50" t="s">
        <v>96</v>
      </c>
      <c r="C909" s="50">
        <v>546</v>
      </c>
      <c r="D909" s="51" t="s">
        <v>71</v>
      </c>
    </row>
    <row r="910" spans="2:4" x14ac:dyDescent="0.25">
      <c r="B910" s="50" t="s">
        <v>96</v>
      </c>
      <c r="C910" s="50">
        <v>455</v>
      </c>
      <c r="D910" s="51" t="s">
        <v>71</v>
      </c>
    </row>
    <row r="911" spans="2:4" x14ac:dyDescent="0.25">
      <c r="B911" s="50" t="s">
        <v>96</v>
      </c>
      <c r="C911" s="50">
        <v>304</v>
      </c>
      <c r="D911" s="51" t="s">
        <v>71</v>
      </c>
    </row>
    <row r="912" spans="2:4" x14ac:dyDescent="0.25">
      <c r="B912" s="50" t="s">
        <v>96</v>
      </c>
      <c r="C912" s="50">
        <v>413</v>
      </c>
      <c r="D912" s="51" t="s">
        <v>71</v>
      </c>
    </row>
    <row r="913" spans="2:4" x14ac:dyDescent="0.25">
      <c r="B913" s="50" t="s">
        <v>96</v>
      </c>
      <c r="C913" s="50">
        <v>494</v>
      </c>
      <c r="D913" s="51" t="s">
        <v>71</v>
      </c>
    </row>
    <row r="914" spans="2:4" x14ac:dyDescent="0.25">
      <c r="B914" s="50" t="s">
        <v>96</v>
      </c>
      <c r="C914" s="50">
        <v>528</v>
      </c>
      <c r="D914" s="51" t="s">
        <v>71</v>
      </c>
    </row>
    <row r="915" spans="2:4" x14ac:dyDescent="0.25">
      <c r="B915" s="50" t="s">
        <v>96</v>
      </c>
      <c r="C915" s="50">
        <v>511</v>
      </c>
      <c r="D915" s="51" t="s">
        <v>71</v>
      </c>
    </row>
    <row r="916" spans="2:4" x14ac:dyDescent="0.25">
      <c r="B916" s="50" t="s">
        <v>96</v>
      </c>
      <c r="C916" s="50">
        <v>201</v>
      </c>
      <c r="D916" s="51" t="s">
        <v>71</v>
      </c>
    </row>
    <row r="917" spans="2:4" x14ac:dyDescent="0.25">
      <c r="B917" s="50" t="s">
        <v>96</v>
      </c>
      <c r="C917" s="50">
        <v>487</v>
      </c>
      <c r="D917" s="51" t="s">
        <v>71</v>
      </c>
    </row>
    <row r="918" spans="2:4" x14ac:dyDescent="0.25">
      <c r="B918" s="50" t="s">
        <v>96</v>
      </c>
      <c r="C918" s="50">
        <v>477</v>
      </c>
      <c r="D918" s="51" t="s">
        <v>71</v>
      </c>
    </row>
    <row r="919" spans="2:4" x14ac:dyDescent="0.25">
      <c r="B919" s="50" t="s">
        <v>96</v>
      </c>
      <c r="C919" s="50">
        <v>514</v>
      </c>
      <c r="D919" s="51" t="s">
        <v>71</v>
      </c>
    </row>
    <row r="920" spans="2:4" x14ac:dyDescent="0.25">
      <c r="B920" s="50" t="s">
        <v>96</v>
      </c>
      <c r="C920" s="50">
        <v>321</v>
      </c>
      <c r="D920" s="51" t="s">
        <v>71</v>
      </c>
    </row>
    <row r="921" spans="2:4" x14ac:dyDescent="0.25">
      <c r="B921" s="50" t="s">
        <v>96</v>
      </c>
      <c r="C921" s="50">
        <v>402</v>
      </c>
      <c r="D921" s="51" t="s">
        <v>71</v>
      </c>
    </row>
    <row r="922" spans="2:4" x14ac:dyDescent="0.25">
      <c r="B922" s="50" t="s">
        <v>96</v>
      </c>
      <c r="C922" s="50">
        <v>331</v>
      </c>
      <c r="D922" s="51" t="s">
        <v>71</v>
      </c>
    </row>
    <row r="923" spans="2:4" x14ac:dyDescent="0.25">
      <c r="B923" s="50" t="s">
        <v>96</v>
      </c>
      <c r="C923" s="50">
        <v>489</v>
      </c>
      <c r="D923" s="51" t="s">
        <v>71</v>
      </c>
    </row>
    <row r="924" spans="2:4" x14ac:dyDescent="0.25">
      <c r="B924" s="50" t="s">
        <v>96</v>
      </c>
      <c r="C924" s="50">
        <v>522</v>
      </c>
      <c r="D924" s="51" t="s">
        <v>71</v>
      </c>
    </row>
    <row r="925" spans="2:4" x14ac:dyDescent="0.25">
      <c r="B925" s="50" t="s">
        <v>96</v>
      </c>
      <c r="C925" s="50">
        <v>474</v>
      </c>
      <c r="D925" s="51" t="s">
        <v>71</v>
      </c>
    </row>
    <row r="926" spans="2:4" x14ac:dyDescent="0.25">
      <c r="B926" s="50" t="s">
        <v>96</v>
      </c>
      <c r="C926" s="50">
        <v>322</v>
      </c>
      <c r="D926" s="51" t="s">
        <v>71</v>
      </c>
    </row>
    <row r="927" spans="2:4" x14ac:dyDescent="0.25">
      <c r="B927" s="50" t="s">
        <v>96</v>
      </c>
      <c r="C927" s="50">
        <v>326</v>
      </c>
      <c r="D927" s="51" t="s">
        <v>71</v>
      </c>
    </row>
    <row r="928" spans="2:4" x14ac:dyDescent="0.25">
      <c r="B928" s="50" t="s">
        <v>96</v>
      </c>
      <c r="C928" s="50">
        <v>462</v>
      </c>
      <c r="D928" s="51" t="s">
        <v>71</v>
      </c>
    </row>
    <row r="929" spans="2:4" x14ac:dyDescent="0.25">
      <c r="B929" s="50" t="s">
        <v>96</v>
      </c>
      <c r="C929" s="50">
        <v>317</v>
      </c>
      <c r="D929" s="51" t="s">
        <v>71</v>
      </c>
    </row>
    <row r="930" spans="2:4" x14ac:dyDescent="0.25">
      <c r="B930" s="50" t="s">
        <v>96</v>
      </c>
      <c r="C930" s="50">
        <v>501</v>
      </c>
      <c r="D930" s="51" t="s">
        <v>71</v>
      </c>
    </row>
    <row r="931" spans="2:4" x14ac:dyDescent="0.25">
      <c r="B931" s="50" t="s">
        <v>96</v>
      </c>
      <c r="C931" s="50">
        <v>504</v>
      </c>
      <c r="D931" s="51" t="s">
        <v>71</v>
      </c>
    </row>
    <row r="932" spans="2:4" x14ac:dyDescent="0.25">
      <c r="B932" s="50" t="s">
        <v>96</v>
      </c>
      <c r="C932" s="50">
        <v>405</v>
      </c>
      <c r="D932" s="51" t="s">
        <v>71</v>
      </c>
    </row>
    <row r="933" spans="2:4" x14ac:dyDescent="0.25">
      <c r="B933" s="50" t="s">
        <v>96</v>
      </c>
      <c r="C933" s="50">
        <v>393</v>
      </c>
      <c r="D933" s="51" t="s">
        <v>71</v>
      </c>
    </row>
    <row r="934" spans="2:4" x14ac:dyDescent="0.25">
      <c r="B934" s="50" t="s">
        <v>96</v>
      </c>
      <c r="C934" s="50">
        <v>308</v>
      </c>
      <c r="D934" s="51" t="s">
        <v>71</v>
      </c>
    </row>
    <row r="935" spans="2:4" x14ac:dyDescent="0.25">
      <c r="B935" s="50" t="s">
        <v>96</v>
      </c>
      <c r="C935" s="50">
        <v>544</v>
      </c>
      <c r="D935" s="51" t="s">
        <v>71</v>
      </c>
    </row>
    <row r="936" spans="2:4" x14ac:dyDescent="0.25">
      <c r="B936" s="50" t="s">
        <v>96</v>
      </c>
      <c r="C936" s="50">
        <v>432</v>
      </c>
      <c r="D936" s="51" t="s">
        <v>71</v>
      </c>
    </row>
    <row r="937" spans="2:4" x14ac:dyDescent="0.25">
      <c r="B937" s="50" t="s">
        <v>96</v>
      </c>
      <c r="C937" s="50">
        <v>429</v>
      </c>
      <c r="D937" s="51" t="s">
        <v>71</v>
      </c>
    </row>
    <row r="938" spans="2:4" x14ac:dyDescent="0.25">
      <c r="B938" s="50" t="s">
        <v>96</v>
      </c>
      <c r="C938" s="50">
        <v>428</v>
      </c>
      <c r="D938" s="51" t="s">
        <v>71</v>
      </c>
    </row>
    <row r="939" spans="2:4" x14ac:dyDescent="0.25">
      <c r="B939" s="50" t="s">
        <v>96</v>
      </c>
      <c r="C939" s="50">
        <v>319</v>
      </c>
      <c r="D939" s="51" t="s">
        <v>71</v>
      </c>
    </row>
    <row r="940" spans="2:4" x14ac:dyDescent="0.25">
      <c r="B940" s="50" t="s">
        <v>96</v>
      </c>
      <c r="C940" s="50">
        <v>335</v>
      </c>
      <c r="D940" s="51" t="s">
        <v>71</v>
      </c>
    </row>
    <row r="941" spans="2:4" x14ac:dyDescent="0.25">
      <c r="B941" s="50" t="s">
        <v>96</v>
      </c>
      <c r="C941" s="50">
        <v>538</v>
      </c>
      <c r="D941" s="51" t="s">
        <v>71</v>
      </c>
    </row>
    <row r="942" spans="2:4" x14ac:dyDescent="0.25">
      <c r="B942" s="50" t="s">
        <v>96</v>
      </c>
      <c r="C942" s="50">
        <v>526</v>
      </c>
      <c r="D942" s="51" t="s">
        <v>71</v>
      </c>
    </row>
    <row r="943" spans="2:4" x14ac:dyDescent="0.25">
      <c r="B943" s="50" t="s">
        <v>96</v>
      </c>
      <c r="C943" s="50">
        <v>529</v>
      </c>
      <c r="D943" s="51" t="s">
        <v>71</v>
      </c>
    </row>
    <row r="944" spans="2:4" x14ac:dyDescent="0.25">
      <c r="B944" s="50" t="s">
        <v>96</v>
      </c>
      <c r="C944" s="50">
        <v>456</v>
      </c>
      <c r="D944" s="51" t="s">
        <v>71</v>
      </c>
    </row>
    <row r="945" spans="2:4" x14ac:dyDescent="0.25">
      <c r="B945" s="50" t="s">
        <v>96</v>
      </c>
      <c r="C945" s="50">
        <v>305</v>
      </c>
      <c r="D945" s="51" t="s">
        <v>71</v>
      </c>
    </row>
    <row r="946" spans="2:4" x14ac:dyDescent="0.25">
      <c r="B946" s="50" t="s">
        <v>96</v>
      </c>
      <c r="C946" s="50">
        <v>436</v>
      </c>
      <c r="D946" s="51" t="s">
        <v>71</v>
      </c>
    </row>
    <row r="947" spans="2:4" x14ac:dyDescent="0.25">
      <c r="B947" s="50" t="s">
        <v>96</v>
      </c>
      <c r="C947" s="50">
        <v>541</v>
      </c>
      <c r="D947" s="51" t="s">
        <v>71</v>
      </c>
    </row>
    <row r="948" spans="2:4" x14ac:dyDescent="0.25">
      <c r="B948" s="50" t="s">
        <v>96</v>
      </c>
      <c r="C948" s="50">
        <v>334</v>
      </c>
      <c r="D948" s="51" t="s">
        <v>71</v>
      </c>
    </row>
    <row r="949" spans="2:4" x14ac:dyDescent="0.25">
      <c r="B949" s="50" t="s">
        <v>96</v>
      </c>
      <c r="C949" s="50">
        <v>505</v>
      </c>
      <c r="D949" s="51" t="s">
        <v>71</v>
      </c>
    </row>
    <row r="950" spans="2:4" x14ac:dyDescent="0.25">
      <c r="B950" s="50" t="s">
        <v>96</v>
      </c>
      <c r="C950" s="50">
        <v>358</v>
      </c>
      <c r="D950" s="51" t="s">
        <v>71</v>
      </c>
    </row>
    <row r="951" spans="2:4" x14ac:dyDescent="0.25">
      <c r="B951" s="50" t="s">
        <v>96</v>
      </c>
      <c r="C951" s="50">
        <v>492</v>
      </c>
      <c r="D951" s="51" t="s">
        <v>71</v>
      </c>
    </row>
    <row r="952" spans="2:4" x14ac:dyDescent="0.25">
      <c r="B952" s="50" t="s">
        <v>96</v>
      </c>
      <c r="C952" s="50">
        <v>481</v>
      </c>
      <c r="D952" s="51" t="s">
        <v>72</v>
      </c>
    </row>
    <row r="953" spans="2:4" x14ac:dyDescent="0.25">
      <c r="B953" s="50" t="s">
        <v>96</v>
      </c>
      <c r="C953" s="50">
        <v>452</v>
      </c>
      <c r="D953" s="51" t="s">
        <v>72</v>
      </c>
    </row>
    <row r="954" spans="2:4" x14ac:dyDescent="0.25">
      <c r="B954" s="50" t="s">
        <v>96</v>
      </c>
      <c r="C954" s="50">
        <v>406</v>
      </c>
      <c r="D954" s="51" t="s">
        <v>72</v>
      </c>
    </row>
    <row r="955" spans="2:4" x14ac:dyDescent="0.25">
      <c r="B955" s="50" t="s">
        <v>96</v>
      </c>
      <c r="C955" s="50">
        <v>421</v>
      </c>
      <c r="D955" s="51" t="s">
        <v>72</v>
      </c>
    </row>
    <row r="956" spans="2:4" x14ac:dyDescent="0.25">
      <c r="B956" s="50" t="s">
        <v>96</v>
      </c>
      <c r="C956" s="50">
        <v>347</v>
      </c>
      <c r="D956" s="51" t="s">
        <v>72</v>
      </c>
    </row>
    <row r="957" spans="2:4" x14ac:dyDescent="0.25">
      <c r="B957" s="50" t="s">
        <v>96</v>
      </c>
      <c r="C957" s="50">
        <v>467</v>
      </c>
      <c r="D957" s="51" t="s">
        <v>72</v>
      </c>
    </row>
    <row r="958" spans="2:4" x14ac:dyDescent="0.25">
      <c r="B958" s="50" t="s">
        <v>96</v>
      </c>
      <c r="C958" s="50">
        <v>497</v>
      </c>
      <c r="D958" s="51" t="s">
        <v>72</v>
      </c>
    </row>
    <row r="959" spans="2:4" x14ac:dyDescent="0.25">
      <c r="B959" s="50" t="s">
        <v>96</v>
      </c>
      <c r="C959" s="50">
        <v>520</v>
      </c>
      <c r="D959" s="51" t="s">
        <v>72</v>
      </c>
    </row>
    <row r="960" spans="2:4" x14ac:dyDescent="0.25">
      <c r="B960" s="50" t="s">
        <v>96</v>
      </c>
      <c r="C960" s="50">
        <v>531</v>
      </c>
      <c r="D960" s="51" t="s">
        <v>72</v>
      </c>
    </row>
    <row r="961" spans="2:4" x14ac:dyDescent="0.25">
      <c r="B961" s="50" t="s">
        <v>96</v>
      </c>
      <c r="C961" s="50">
        <v>488</v>
      </c>
      <c r="D961" s="51" t="s">
        <v>72</v>
      </c>
    </row>
    <row r="962" spans="2:4" x14ac:dyDescent="0.25">
      <c r="B962" s="50" t="s">
        <v>96</v>
      </c>
      <c r="C962" s="50">
        <v>491</v>
      </c>
      <c r="D962" s="51" t="s">
        <v>72</v>
      </c>
    </row>
    <row r="963" spans="2:4" x14ac:dyDescent="0.25">
      <c r="B963" s="50" t="s">
        <v>96</v>
      </c>
      <c r="C963" s="50">
        <v>502</v>
      </c>
      <c r="D963" s="51" t="s">
        <v>72</v>
      </c>
    </row>
    <row r="964" spans="2:4" x14ac:dyDescent="0.25">
      <c r="B964" s="50" t="s">
        <v>96</v>
      </c>
      <c r="C964" s="50">
        <v>407</v>
      </c>
      <c r="D964" s="51" t="s">
        <v>72</v>
      </c>
    </row>
    <row r="965" spans="2:4" x14ac:dyDescent="0.25">
      <c r="B965" s="50" t="s">
        <v>96</v>
      </c>
      <c r="C965" s="50">
        <v>422</v>
      </c>
      <c r="D965" s="51" t="s">
        <v>72</v>
      </c>
    </row>
    <row r="966" spans="2:4" x14ac:dyDescent="0.25">
      <c r="B966" s="50" t="s">
        <v>96</v>
      </c>
      <c r="C966" s="50">
        <v>484</v>
      </c>
      <c r="D966" s="51" t="s">
        <v>72</v>
      </c>
    </row>
    <row r="967" spans="2:4" x14ac:dyDescent="0.25">
      <c r="B967" s="50" t="s">
        <v>96</v>
      </c>
      <c r="C967" s="50">
        <v>370</v>
      </c>
      <c r="D967" s="51" t="s">
        <v>72</v>
      </c>
    </row>
    <row r="968" spans="2:4" x14ac:dyDescent="0.25">
      <c r="B968" s="50" t="s">
        <v>96</v>
      </c>
      <c r="C968" s="50">
        <v>507</v>
      </c>
      <c r="D968" s="51" t="s">
        <v>72</v>
      </c>
    </row>
    <row r="969" spans="2:4" x14ac:dyDescent="0.25">
      <c r="B969" s="50" t="s">
        <v>96</v>
      </c>
      <c r="C969" s="50">
        <v>516</v>
      </c>
      <c r="D969" s="51" t="s">
        <v>72</v>
      </c>
    </row>
    <row r="970" spans="2:4" x14ac:dyDescent="0.25">
      <c r="B970" s="50" t="s">
        <v>96</v>
      </c>
      <c r="C970" s="50">
        <v>540</v>
      </c>
      <c r="D970" s="51" t="s">
        <v>72</v>
      </c>
    </row>
    <row r="971" spans="2:4" x14ac:dyDescent="0.25">
      <c r="B971" s="50" t="s">
        <v>96</v>
      </c>
      <c r="C971" s="50">
        <v>451</v>
      </c>
      <c r="D971" s="51" t="s">
        <v>72</v>
      </c>
    </row>
    <row r="972" spans="2:4" x14ac:dyDescent="0.25">
      <c r="B972" s="50" t="s">
        <v>96</v>
      </c>
      <c r="C972" s="50">
        <v>537</v>
      </c>
      <c r="D972" s="51" t="s">
        <v>73</v>
      </c>
    </row>
    <row r="973" spans="2:4" x14ac:dyDescent="0.25">
      <c r="B973" s="50" t="s">
        <v>96</v>
      </c>
      <c r="C973" s="50">
        <v>465</v>
      </c>
      <c r="D973" s="51" t="s">
        <v>73</v>
      </c>
    </row>
    <row r="974" spans="2:4" x14ac:dyDescent="0.25">
      <c r="B974" s="50" t="s">
        <v>96</v>
      </c>
      <c r="C974" s="50">
        <v>539</v>
      </c>
      <c r="D974" s="51" t="s">
        <v>73</v>
      </c>
    </row>
    <row r="975" spans="2:4" x14ac:dyDescent="0.25">
      <c r="B975" s="50" t="s">
        <v>96</v>
      </c>
      <c r="C975" s="50">
        <v>536</v>
      </c>
      <c r="D975" s="51" t="s">
        <v>73</v>
      </c>
    </row>
    <row r="976" spans="2:4" x14ac:dyDescent="0.25">
      <c r="B976" s="50" t="s">
        <v>96</v>
      </c>
      <c r="C976" s="50">
        <v>475</v>
      </c>
      <c r="D976" s="51" t="s">
        <v>73</v>
      </c>
    </row>
    <row r="977" spans="2:4" x14ac:dyDescent="0.25">
      <c r="B977" s="50" t="s">
        <v>97</v>
      </c>
      <c r="C977" s="50">
        <v>400</v>
      </c>
      <c r="D977" s="51" t="s">
        <v>67</v>
      </c>
    </row>
    <row r="978" spans="2:4" x14ac:dyDescent="0.25">
      <c r="B978" s="50" t="s">
        <v>97</v>
      </c>
      <c r="C978" s="50">
        <v>306</v>
      </c>
      <c r="D978" s="51" t="s">
        <v>68</v>
      </c>
    </row>
    <row r="979" spans="2:4" x14ac:dyDescent="0.25">
      <c r="B979" s="50" t="s">
        <v>97</v>
      </c>
      <c r="C979" s="50">
        <v>444</v>
      </c>
      <c r="D979" s="51" t="s">
        <v>68</v>
      </c>
    </row>
    <row r="980" spans="2:4" x14ac:dyDescent="0.25">
      <c r="B980" s="50" t="s">
        <v>97</v>
      </c>
      <c r="C980" s="50">
        <v>399</v>
      </c>
      <c r="D980" s="51" t="s">
        <v>68</v>
      </c>
    </row>
    <row r="981" spans="2:4" x14ac:dyDescent="0.25">
      <c r="B981" s="50" t="s">
        <v>97</v>
      </c>
      <c r="C981" s="50">
        <v>442</v>
      </c>
      <c r="D981" s="51" t="s">
        <v>68</v>
      </c>
    </row>
    <row r="982" spans="2:4" x14ac:dyDescent="0.25">
      <c r="B982" s="50" t="s">
        <v>97</v>
      </c>
      <c r="C982" s="50">
        <v>469</v>
      </c>
      <c r="D982" s="51" t="s">
        <v>68</v>
      </c>
    </row>
    <row r="983" spans="2:4" x14ac:dyDescent="0.25">
      <c r="B983" s="50" t="s">
        <v>97</v>
      </c>
      <c r="C983" s="50">
        <v>420</v>
      </c>
      <c r="D983" s="51" t="s">
        <v>69</v>
      </c>
    </row>
    <row r="984" spans="2:4" x14ac:dyDescent="0.25">
      <c r="B984" s="50" t="s">
        <v>97</v>
      </c>
      <c r="C984" s="50">
        <v>500</v>
      </c>
      <c r="D984" s="51" t="s">
        <v>69</v>
      </c>
    </row>
    <row r="985" spans="2:4" x14ac:dyDescent="0.25">
      <c r="B985" s="50" t="s">
        <v>97</v>
      </c>
      <c r="C985" s="50">
        <v>418</v>
      </c>
      <c r="D985" s="51" t="s">
        <v>69</v>
      </c>
    </row>
    <row r="986" spans="2:4" x14ac:dyDescent="0.25">
      <c r="B986" s="50" t="s">
        <v>97</v>
      </c>
      <c r="C986" s="50">
        <v>362</v>
      </c>
      <c r="D986" s="51" t="s">
        <v>69</v>
      </c>
    </row>
    <row r="987" spans="2:4" x14ac:dyDescent="0.25">
      <c r="B987" s="50" t="s">
        <v>97</v>
      </c>
      <c r="C987" s="50">
        <v>533</v>
      </c>
      <c r="D987" s="51" t="s">
        <v>69</v>
      </c>
    </row>
    <row r="988" spans="2:4" x14ac:dyDescent="0.25">
      <c r="B988" s="50" t="s">
        <v>97</v>
      </c>
      <c r="C988" s="50">
        <v>495</v>
      </c>
      <c r="D988" s="51" t="s">
        <v>69</v>
      </c>
    </row>
    <row r="989" spans="2:4" x14ac:dyDescent="0.25">
      <c r="B989" s="50" t="s">
        <v>97</v>
      </c>
      <c r="C989" s="50">
        <v>301</v>
      </c>
      <c r="D989" s="51" t="s">
        <v>70</v>
      </c>
    </row>
    <row r="990" spans="2:4" x14ac:dyDescent="0.25">
      <c r="B990" s="50" t="s">
        <v>97</v>
      </c>
      <c r="C990" s="50">
        <v>365</v>
      </c>
      <c r="D990" s="51" t="s">
        <v>70</v>
      </c>
    </row>
    <row r="991" spans="2:4" x14ac:dyDescent="0.25">
      <c r="B991" s="50" t="s">
        <v>97</v>
      </c>
      <c r="C991" s="50">
        <v>506</v>
      </c>
      <c r="D991" s="51" t="s">
        <v>70</v>
      </c>
    </row>
    <row r="992" spans="2:4" x14ac:dyDescent="0.25">
      <c r="B992" s="50" t="s">
        <v>97</v>
      </c>
      <c r="C992" s="50">
        <v>508</v>
      </c>
      <c r="D992" s="51" t="s">
        <v>70</v>
      </c>
    </row>
    <row r="993" spans="2:4" x14ac:dyDescent="0.25">
      <c r="B993" s="50" t="s">
        <v>97</v>
      </c>
      <c r="C993" s="50">
        <v>499</v>
      </c>
      <c r="D993" s="51" t="s">
        <v>70</v>
      </c>
    </row>
    <row r="994" spans="2:4" x14ac:dyDescent="0.25">
      <c r="B994" s="50" t="s">
        <v>97</v>
      </c>
      <c r="C994" s="50">
        <v>314</v>
      </c>
      <c r="D994" s="51" t="s">
        <v>70</v>
      </c>
    </row>
    <row r="995" spans="2:4" x14ac:dyDescent="0.25">
      <c r="B995" s="50" t="s">
        <v>97</v>
      </c>
      <c r="C995" s="50">
        <v>546</v>
      </c>
      <c r="D995" s="51" t="s">
        <v>70</v>
      </c>
    </row>
    <row r="996" spans="2:4" x14ac:dyDescent="0.25">
      <c r="B996" s="50" t="s">
        <v>97</v>
      </c>
      <c r="C996" s="50">
        <v>445</v>
      </c>
      <c r="D996" s="51" t="s">
        <v>70</v>
      </c>
    </row>
    <row r="997" spans="2:4" x14ac:dyDescent="0.25">
      <c r="B997" s="50" t="s">
        <v>97</v>
      </c>
      <c r="C997" s="50">
        <v>333</v>
      </c>
      <c r="D997" s="51" t="s">
        <v>70</v>
      </c>
    </row>
    <row r="998" spans="2:4" x14ac:dyDescent="0.25">
      <c r="B998" s="50" t="s">
        <v>97</v>
      </c>
      <c r="C998" s="50">
        <v>440</v>
      </c>
      <c r="D998" s="51" t="s">
        <v>70</v>
      </c>
    </row>
    <row r="999" spans="2:4" x14ac:dyDescent="0.25">
      <c r="B999" s="50" t="s">
        <v>97</v>
      </c>
      <c r="C999" s="50">
        <v>545</v>
      </c>
      <c r="D999" s="51" t="s">
        <v>70</v>
      </c>
    </row>
    <row r="1000" spans="2:4" x14ac:dyDescent="0.25">
      <c r="B1000" s="50" t="s">
        <v>97</v>
      </c>
      <c r="C1000" s="50">
        <v>463</v>
      </c>
      <c r="D1000" s="51" t="s">
        <v>70</v>
      </c>
    </row>
    <row r="1001" spans="2:4" x14ac:dyDescent="0.25">
      <c r="B1001" s="50" t="s">
        <v>97</v>
      </c>
      <c r="C1001" s="50">
        <v>496</v>
      </c>
      <c r="D1001" s="51" t="s">
        <v>70</v>
      </c>
    </row>
    <row r="1002" spans="2:4" x14ac:dyDescent="0.25">
      <c r="B1002" s="50" t="s">
        <v>97</v>
      </c>
      <c r="C1002" s="50">
        <v>323</v>
      </c>
      <c r="D1002" s="51" t="s">
        <v>70</v>
      </c>
    </row>
    <row r="1003" spans="2:4" x14ac:dyDescent="0.25">
      <c r="B1003" s="50" t="s">
        <v>97</v>
      </c>
      <c r="C1003" s="50">
        <v>376</v>
      </c>
      <c r="D1003" s="51" t="s">
        <v>70</v>
      </c>
    </row>
    <row r="1004" spans="2:4" x14ac:dyDescent="0.25">
      <c r="B1004" s="50" t="s">
        <v>97</v>
      </c>
      <c r="C1004" s="50">
        <v>509</v>
      </c>
      <c r="D1004" s="51" t="s">
        <v>70</v>
      </c>
    </row>
    <row r="1005" spans="2:4" x14ac:dyDescent="0.25">
      <c r="B1005" s="50" t="s">
        <v>97</v>
      </c>
      <c r="C1005" s="50">
        <v>510</v>
      </c>
      <c r="D1005" s="51" t="s">
        <v>70</v>
      </c>
    </row>
    <row r="1006" spans="2:4" x14ac:dyDescent="0.25">
      <c r="B1006" s="50" t="s">
        <v>97</v>
      </c>
      <c r="C1006" s="50">
        <v>515</v>
      </c>
      <c r="D1006" s="51" t="s">
        <v>70</v>
      </c>
    </row>
    <row r="1007" spans="2:4" x14ac:dyDescent="0.25">
      <c r="B1007" s="50" t="s">
        <v>97</v>
      </c>
      <c r="C1007" s="50">
        <v>403</v>
      </c>
      <c r="D1007" s="51" t="s">
        <v>70</v>
      </c>
    </row>
    <row r="1008" spans="2:4" x14ac:dyDescent="0.25">
      <c r="B1008" s="50" t="s">
        <v>97</v>
      </c>
      <c r="C1008" s="50">
        <v>390</v>
      </c>
      <c r="D1008" s="51" t="s">
        <v>70</v>
      </c>
    </row>
    <row r="1009" spans="2:4" x14ac:dyDescent="0.25">
      <c r="B1009" s="50" t="s">
        <v>97</v>
      </c>
      <c r="C1009" s="50">
        <v>455</v>
      </c>
      <c r="D1009" s="51" t="s">
        <v>70</v>
      </c>
    </row>
    <row r="1010" spans="2:4" x14ac:dyDescent="0.25">
      <c r="B1010" s="50" t="s">
        <v>97</v>
      </c>
      <c r="C1010" s="50">
        <v>447</v>
      </c>
      <c r="D1010" s="51" t="s">
        <v>70</v>
      </c>
    </row>
    <row r="1011" spans="2:4" x14ac:dyDescent="0.25">
      <c r="B1011" s="50" t="s">
        <v>97</v>
      </c>
      <c r="C1011" s="50">
        <v>448</v>
      </c>
      <c r="D1011" s="51" t="s">
        <v>70</v>
      </c>
    </row>
    <row r="1012" spans="2:4" x14ac:dyDescent="0.25">
      <c r="B1012" s="50" t="s">
        <v>97</v>
      </c>
      <c r="C1012" s="50">
        <v>373</v>
      </c>
      <c r="D1012" s="51" t="s">
        <v>70</v>
      </c>
    </row>
    <row r="1013" spans="2:4" x14ac:dyDescent="0.25">
      <c r="B1013" s="50" t="s">
        <v>97</v>
      </c>
      <c r="C1013" s="50">
        <v>438</v>
      </c>
      <c r="D1013" s="51" t="s">
        <v>70</v>
      </c>
    </row>
    <row r="1014" spans="2:4" x14ac:dyDescent="0.25">
      <c r="B1014" s="50" t="s">
        <v>97</v>
      </c>
      <c r="C1014" s="50">
        <v>511</v>
      </c>
      <c r="D1014" s="51" t="s">
        <v>70</v>
      </c>
    </row>
    <row r="1015" spans="2:4" x14ac:dyDescent="0.25">
      <c r="B1015" s="50" t="s">
        <v>97</v>
      </c>
      <c r="C1015" s="50">
        <v>416</v>
      </c>
      <c r="D1015" s="51" t="s">
        <v>70</v>
      </c>
    </row>
    <row r="1016" spans="2:4" x14ac:dyDescent="0.25">
      <c r="B1016" s="50" t="s">
        <v>97</v>
      </c>
      <c r="C1016" s="50">
        <v>356</v>
      </c>
      <c r="D1016" s="51" t="s">
        <v>70</v>
      </c>
    </row>
    <row r="1017" spans="2:4" x14ac:dyDescent="0.25">
      <c r="B1017" s="50" t="s">
        <v>97</v>
      </c>
      <c r="C1017" s="50">
        <v>424</v>
      </c>
      <c r="D1017" s="51" t="s">
        <v>70</v>
      </c>
    </row>
    <row r="1018" spans="2:4" x14ac:dyDescent="0.25">
      <c r="B1018" s="50" t="s">
        <v>97</v>
      </c>
      <c r="C1018" s="50">
        <v>529</v>
      </c>
      <c r="D1018" s="51" t="s">
        <v>70</v>
      </c>
    </row>
    <row r="1019" spans="2:4" x14ac:dyDescent="0.25">
      <c r="B1019" s="50" t="s">
        <v>97</v>
      </c>
      <c r="C1019" s="50">
        <v>487</v>
      </c>
      <c r="D1019" s="51" t="s">
        <v>70</v>
      </c>
    </row>
    <row r="1020" spans="2:4" x14ac:dyDescent="0.25">
      <c r="B1020" s="50" t="s">
        <v>97</v>
      </c>
      <c r="C1020" s="50">
        <v>304</v>
      </c>
      <c r="D1020" s="51" t="s">
        <v>70</v>
      </c>
    </row>
    <row r="1021" spans="2:4" x14ac:dyDescent="0.25">
      <c r="B1021" s="50" t="s">
        <v>97</v>
      </c>
      <c r="C1021" s="50">
        <v>477</v>
      </c>
      <c r="D1021" s="51" t="s">
        <v>70</v>
      </c>
    </row>
    <row r="1022" spans="2:4" x14ac:dyDescent="0.25">
      <c r="B1022" s="50" t="s">
        <v>97</v>
      </c>
      <c r="C1022" s="50">
        <v>423</v>
      </c>
      <c r="D1022" s="51" t="s">
        <v>70</v>
      </c>
    </row>
    <row r="1023" spans="2:4" x14ac:dyDescent="0.25">
      <c r="B1023" s="50" t="s">
        <v>97</v>
      </c>
      <c r="C1023" s="50">
        <v>528</v>
      </c>
      <c r="D1023" s="51" t="s">
        <v>70</v>
      </c>
    </row>
    <row r="1024" spans="2:4" x14ac:dyDescent="0.25">
      <c r="B1024" s="50" t="s">
        <v>97</v>
      </c>
      <c r="C1024" s="50">
        <v>523</v>
      </c>
      <c r="D1024" s="51" t="s">
        <v>70</v>
      </c>
    </row>
    <row r="1025" spans="2:4" x14ac:dyDescent="0.25">
      <c r="B1025" s="50" t="s">
        <v>97</v>
      </c>
      <c r="C1025" s="50">
        <v>489</v>
      </c>
      <c r="D1025" s="51" t="s">
        <v>70</v>
      </c>
    </row>
    <row r="1026" spans="2:4" x14ac:dyDescent="0.25">
      <c r="B1026" s="50" t="s">
        <v>97</v>
      </c>
      <c r="C1026" s="50">
        <v>532</v>
      </c>
      <c r="D1026" s="51" t="s">
        <v>70</v>
      </c>
    </row>
    <row r="1027" spans="2:4" x14ac:dyDescent="0.25">
      <c r="B1027" s="50" t="s">
        <v>97</v>
      </c>
      <c r="C1027" s="50">
        <v>471</v>
      </c>
      <c r="D1027" s="51" t="s">
        <v>70</v>
      </c>
    </row>
    <row r="1028" spans="2:4" x14ac:dyDescent="0.25">
      <c r="B1028" s="50" t="s">
        <v>97</v>
      </c>
      <c r="C1028" s="50">
        <v>433</v>
      </c>
      <c r="D1028" s="51" t="s">
        <v>70</v>
      </c>
    </row>
    <row r="1029" spans="2:4" x14ac:dyDescent="0.25">
      <c r="B1029" s="50" t="s">
        <v>97</v>
      </c>
      <c r="C1029" s="50">
        <v>503</v>
      </c>
      <c r="D1029" s="51" t="s">
        <v>70</v>
      </c>
    </row>
    <row r="1030" spans="2:4" x14ac:dyDescent="0.25">
      <c r="B1030" s="50" t="s">
        <v>97</v>
      </c>
      <c r="C1030" s="50">
        <v>521</v>
      </c>
      <c r="D1030" s="51" t="s">
        <v>70</v>
      </c>
    </row>
    <row r="1031" spans="2:4" x14ac:dyDescent="0.25">
      <c r="B1031" s="50" t="s">
        <v>97</v>
      </c>
      <c r="C1031" s="50">
        <v>402</v>
      </c>
      <c r="D1031" s="51" t="s">
        <v>70</v>
      </c>
    </row>
    <row r="1032" spans="2:4" x14ac:dyDescent="0.25">
      <c r="B1032" s="50" t="s">
        <v>97</v>
      </c>
      <c r="C1032" s="50">
        <v>504</v>
      </c>
      <c r="D1032" s="51" t="s">
        <v>70</v>
      </c>
    </row>
    <row r="1033" spans="2:4" x14ac:dyDescent="0.25">
      <c r="B1033" s="50" t="s">
        <v>97</v>
      </c>
      <c r="C1033" s="50">
        <v>322</v>
      </c>
      <c r="D1033" s="51" t="s">
        <v>70</v>
      </c>
    </row>
    <row r="1034" spans="2:4" x14ac:dyDescent="0.25">
      <c r="B1034" s="50" t="s">
        <v>97</v>
      </c>
      <c r="C1034" s="50">
        <v>393</v>
      </c>
      <c r="D1034" s="51" t="s">
        <v>71</v>
      </c>
    </row>
    <row r="1035" spans="2:4" x14ac:dyDescent="0.25">
      <c r="B1035" s="50" t="s">
        <v>97</v>
      </c>
      <c r="C1035" s="50">
        <v>474</v>
      </c>
      <c r="D1035" s="51" t="s">
        <v>71</v>
      </c>
    </row>
    <row r="1036" spans="2:4" x14ac:dyDescent="0.25">
      <c r="B1036" s="50" t="s">
        <v>97</v>
      </c>
      <c r="C1036" s="50">
        <v>518</v>
      </c>
      <c r="D1036" s="51" t="s">
        <v>71</v>
      </c>
    </row>
    <row r="1037" spans="2:4" x14ac:dyDescent="0.25">
      <c r="B1037" s="50" t="s">
        <v>97</v>
      </c>
      <c r="C1037" s="50">
        <v>462</v>
      </c>
      <c r="D1037" s="51" t="s">
        <v>71</v>
      </c>
    </row>
    <row r="1038" spans="2:4" x14ac:dyDescent="0.25">
      <c r="B1038" s="50" t="s">
        <v>97</v>
      </c>
      <c r="C1038" s="50">
        <v>479</v>
      </c>
      <c r="D1038" s="51" t="s">
        <v>71</v>
      </c>
    </row>
    <row r="1039" spans="2:4" x14ac:dyDescent="0.25">
      <c r="B1039" s="50" t="s">
        <v>97</v>
      </c>
      <c r="C1039" s="50">
        <v>432</v>
      </c>
      <c r="D1039" s="51" t="s">
        <v>71</v>
      </c>
    </row>
    <row r="1040" spans="2:4" x14ac:dyDescent="0.25">
      <c r="B1040" s="50" t="s">
        <v>97</v>
      </c>
      <c r="C1040" s="50">
        <v>417</v>
      </c>
      <c r="D1040" s="51" t="s">
        <v>71</v>
      </c>
    </row>
    <row r="1041" spans="2:4" x14ac:dyDescent="0.25">
      <c r="B1041" s="50" t="s">
        <v>97</v>
      </c>
      <c r="C1041" s="50">
        <v>544</v>
      </c>
      <c r="D1041" s="51" t="s">
        <v>71</v>
      </c>
    </row>
    <row r="1042" spans="2:4" x14ac:dyDescent="0.25">
      <c r="B1042" s="50" t="s">
        <v>97</v>
      </c>
      <c r="C1042" s="50">
        <v>321</v>
      </c>
      <c r="D1042" s="51" t="s">
        <v>71</v>
      </c>
    </row>
    <row r="1043" spans="2:4" x14ac:dyDescent="0.25">
      <c r="B1043" s="50" t="s">
        <v>97</v>
      </c>
      <c r="C1043" s="50">
        <v>421</v>
      </c>
      <c r="D1043" s="51" t="s">
        <v>71</v>
      </c>
    </row>
    <row r="1044" spans="2:4" x14ac:dyDescent="0.25">
      <c r="B1044" s="50" t="s">
        <v>97</v>
      </c>
      <c r="C1044" s="50">
        <v>517</v>
      </c>
      <c r="D1044" s="51" t="s">
        <v>71</v>
      </c>
    </row>
    <row r="1045" spans="2:4" x14ac:dyDescent="0.25">
      <c r="B1045" s="50" t="s">
        <v>97</v>
      </c>
      <c r="C1045" s="50">
        <v>464</v>
      </c>
      <c r="D1045" s="51" t="s">
        <v>71</v>
      </c>
    </row>
    <row r="1046" spans="2:4" x14ac:dyDescent="0.25">
      <c r="B1046" s="50" t="s">
        <v>97</v>
      </c>
      <c r="C1046" s="50">
        <v>522</v>
      </c>
      <c r="D1046" s="51" t="s">
        <v>71</v>
      </c>
    </row>
    <row r="1047" spans="2:4" x14ac:dyDescent="0.25">
      <c r="B1047" s="50" t="s">
        <v>97</v>
      </c>
      <c r="C1047" s="50">
        <v>385</v>
      </c>
      <c r="D1047" s="51" t="s">
        <v>71</v>
      </c>
    </row>
    <row r="1048" spans="2:4" x14ac:dyDescent="0.25">
      <c r="B1048" s="50" t="s">
        <v>97</v>
      </c>
      <c r="C1048" s="50">
        <v>452</v>
      </c>
      <c r="D1048" s="51" t="s">
        <v>71</v>
      </c>
    </row>
    <row r="1049" spans="2:4" x14ac:dyDescent="0.25">
      <c r="B1049" s="50" t="s">
        <v>97</v>
      </c>
      <c r="C1049" s="50">
        <v>493</v>
      </c>
      <c r="D1049" s="51" t="s">
        <v>71</v>
      </c>
    </row>
    <row r="1050" spans="2:4" x14ac:dyDescent="0.25">
      <c r="B1050" s="50" t="s">
        <v>97</v>
      </c>
      <c r="C1050" s="50">
        <v>405</v>
      </c>
      <c r="D1050" s="51" t="s">
        <v>71</v>
      </c>
    </row>
    <row r="1051" spans="2:4" x14ac:dyDescent="0.25">
      <c r="B1051" s="50" t="s">
        <v>97</v>
      </c>
      <c r="C1051" s="50">
        <v>543</v>
      </c>
      <c r="D1051" s="51" t="s">
        <v>71</v>
      </c>
    </row>
    <row r="1052" spans="2:4" x14ac:dyDescent="0.25">
      <c r="B1052" s="50" t="s">
        <v>97</v>
      </c>
      <c r="C1052" s="50">
        <v>415</v>
      </c>
      <c r="D1052" s="51" t="s">
        <v>71</v>
      </c>
    </row>
    <row r="1053" spans="2:4" x14ac:dyDescent="0.25">
      <c r="B1053" s="50" t="s">
        <v>97</v>
      </c>
      <c r="C1053" s="50">
        <v>478</v>
      </c>
      <c r="D1053" s="51" t="s">
        <v>71</v>
      </c>
    </row>
    <row r="1054" spans="2:4" x14ac:dyDescent="0.25">
      <c r="B1054" s="50" t="s">
        <v>97</v>
      </c>
      <c r="C1054" s="50">
        <v>361</v>
      </c>
      <c r="D1054" s="51" t="s">
        <v>71</v>
      </c>
    </row>
    <row r="1055" spans="2:4" x14ac:dyDescent="0.25">
      <c r="B1055" s="50" t="s">
        <v>97</v>
      </c>
      <c r="C1055" s="50">
        <v>370</v>
      </c>
      <c r="D1055" s="51" t="s">
        <v>71</v>
      </c>
    </row>
    <row r="1056" spans="2:4" x14ac:dyDescent="0.25">
      <c r="B1056" s="50" t="s">
        <v>97</v>
      </c>
      <c r="C1056" s="50">
        <v>481</v>
      </c>
      <c r="D1056" s="51" t="s">
        <v>71</v>
      </c>
    </row>
    <row r="1057" spans="2:4" x14ac:dyDescent="0.25">
      <c r="B1057" s="50" t="s">
        <v>97</v>
      </c>
      <c r="C1057" s="50">
        <v>334</v>
      </c>
      <c r="D1057" s="51" t="s">
        <v>71</v>
      </c>
    </row>
    <row r="1058" spans="2:4" x14ac:dyDescent="0.25">
      <c r="B1058" s="50" t="s">
        <v>97</v>
      </c>
      <c r="C1058" s="50">
        <v>332</v>
      </c>
      <c r="D1058" s="51" t="s">
        <v>71</v>
      </c>
    </row>
    <row r="1059" spans="2:4" x14ac:dyDescent="0.25">
      <c r="B1059" s="50" t="s">
        <v>97</v>
      </c>
      <c r="C1059" s="50">
        <v>490</v>
      </c>
      <c r="D1059" s="51" t="s">
        <v>71</v>
      </c>
    </row>
    <row r="1060" spans="2:4" x14ac:dyDescent="0.25">
      <c r="B1060" s="50" t="s">
        <v>97</v>
      </c>
      <c r="C1060" s="50">
        <v>467</v>
      </c>
      <c r="D1060" s="51" t="s">
        <v>71</v>
      </c>
    </row>
    <row r="1061" spans="2:4" x14ac:dyDescent="0.25">
      <c r="B1061" s="50" t="s">
        <v>97</v>
      </c>
      <c r="C1061" s="50">
        <v>313</v>
      </c>
      <c r="D1061" s="51" t="s">
        <v>71</v>
      </c>
    </row>
    <row r="1062" spans="2:4" x14ac:dyDescent="0.25">
      <c r="B1062" s="50" t="s">
        <v>97</v>
      </c>
      <c r="C1062" s="50">
        <v>507</v>
      </c>
      <c r="D1062" s="51" t="s">
        <v>71</v>
      </c>
    </row>
    <row r="1063" spans="2:4" x14ac:dyDescent="0.25">
      <c r="B1063" s="50" t="s">
        <v>97</v>
      </c>
      <c r="C1063" s="50">
        <v>519</v>
      </c>
      <c r="D1063" s="51" t="s">
        <v>71</v>
      </c>
    </row>
    <row r="1064" spans="2:4" x14ac:dyDescent="0.25">
      <c r="B1064" s="50" t="s">
        <v>97</v>
      </c>
      <c r="C1064" s="50">
        <v>406</v>
      </c>
      <c r="D1064" s="51" t="s">
        <v>71</v>
      </c>
    </row>
    <row r="1065" spans="2:4" x14ac:dyDescent="0.25">
      <c r="B1065" s="50" t="s">
        <v>97</v>
      </c>
      <c r="C1065" s="50">
        <v>538</v>
      </c>
      <c r="D1065" s="51" t="s">
        <v>71</v>
      </c>
    </row>
    <row r="1066" spans="2:4" x14ac:dyDescent="0.25">
      <c r="B1066" s="50" t="s">
        <v>97</v>
      </c>
      <c r="C1066" s="50">
        <v>527</v>
      </c>
      <c r="D1066" s="51" t="s">
        <v>71</v>
      </c>
    </row>
    <row r="1067" spans="2:4" x14ac:dyDescent="0.25">
      <c r="B1067" s="50" t="s">
        <v>97</v>
      </c>
      <c r="C1067" s="50">
        <v>201</v>
      </c>
      <c r="D1067" s="51" t="s">
        <v>71</v>
      </c>
    </row>
    <row r="1068" spans="2:4" x14ac:dyDescent="0.25">
      <c r="B1068" s="50" t="s">
        <v>97</v>
      </c>
      <c r="C1068" s="50">
        <v>308</v>
      </c>
      <c r="D1068" s="51" t="s">
        <v>71</v>
      </c>
    </row>
    <row r="1069" spans="2:4" x14ac:dyDescent="0.25">
      <c r="B1069" s="50" t="s">
        <v>97</v>
      </c>
      <c r="C1069" s="50">
        <v>429</v>
      </c>
      <c r="D1069" s="51" t="s">
        <v>71</v>
      </c>
    </row>
    <row r="1070" spans="2:4" x14ac:dyDescent="0.25">
      <c r="B1070" s="50" t="s">
        <v>97</v>
      </c>
      <c r="C1070" s="50">
        <v>377</v>
      </c>
      <c r="D1070" s="51" t="s">
        <v>71</v>
      </c>
    </row>
    <row r="1071" spans="2:4" x14ac:dyDescent="0.25">
      <c r="B1071" s="50" t="s">
        <v>97</v>
      </c>
      <c r="C1071" s="50">
        <v>482</v>
      </c>
      <c r="D1071" s="51" t="s">
        <v>71</v>
      </c>
    </row>
    <row r="1072" spans="2:4" x14ac:dyDescent="0.25">
      <c r="B1072" s="50" t="s">
        <v>97</v>
      </c>
      <c r="C1072" s="50">
        <v>468</v>
      </c>
      <c r="D1072" s="51" t="s">
        <v>71</v>
      </c>
    </row>
    <row r="1073" spans="2:4" x14ac:dyDescent="0.25">
      <c r="B1073" s="50" t="s">
        <v>97</v>
      </c>
      <c r="C1073" s="50">
        <v>513</v>
      </c>
      <c r="D1073" s="51" t="s">
        <v>71</v>
      </c>
    </row>
    <row r="1074" spans="2:4" x14ac:dyDescent="0.25">
      <c r="B1074" s="50" t="s">
        <v>97</v>
      </c>
      <c r="C1074" s="50">
        <v>450</v>
      </c>
      <c r="D1074" s="51" t="s">
        <v>71</v>
      </c>
    </row>
    <row r="1075" spans="2:4" x14ac:dyDescent="0.25">
      <c r="B1075" s="50" t="s">
        <v>97</v>
      </c>
      <c r="C1075" s="50">
        <v>335</v>
      </c>
      <c r="D1075" s="51" t="s">
        <v>71</v>
      </c>
    </row>
    <row r="1076" spans="2:4" x14ac:dyDescent="0.25">
      <c r="B1076" s="50" t="s">
        <v>97</v>
      </c>
      <c r="C1076" s="50">
        <v>454</v>
      </c>
      <c r="D1076" s="51" t="s">
        <v>71</v>
      </c>
    </row>
    <row r="1077" spans="2:4" x14ac:dyDescent="0.25">
      <c r="B1077" s="50" t="s">
        <v>97</v>
      </c>
      <c r="C1077" s="50">
        <v>475</v>
      </c>
      <c r="D1077" s="51" t="s">
        <v>71</v>
      </c>
    </row>
    <row r="1078" spans="2:4" x14ac:dyDescent="0.25">
      <c r="B1078" s="50" t="s">
        <v>97</v>
      </c>
      <c r="C1078" s="50">
        <v>531</v>
      </c>
      <c r="D1078" s="51" t="s">
        <v>71</v>
      </c>
    </row>
    <row r="1079" spans="2:4" x14ac:dyDescent="0.25">
      <c r="B1079" s="50" t="s">
        <v>97</v>
      </c>
      <c r="C1079" s="50">
        <v>540</v>
      </c>
      <c r="D1079" s="51" t="s">
        <v>71</v>
      </c>
    </row>
    <row r="1080" spans="2:4" x14ac:dyDescent="0.25">
      <c r="B1080" s="50" t="s">
        <v>97</v>
      </c>
      <c r="C1080" s="50">
        <v>494</v>
      </c>
      <c r="D1080" s="51" t="s">
        <v>71</v>
      </c>
    </row>
    <row r="1081" spans="2:4" x14ac:dyDescent="0.25">
      <c r="B1081" s="50" t="s">
        <v>97</v>
      </c>
      <c r="C1081" s="50">
        <v>328</v>
      </c>
      <c r="D1081" s="51" t="s">
        <v>71</v>
      </c>
    </row>
    <row r="1082" spans="2:4" x14ac:dyDescent="0.25">
      <c r="B1082" s="50" t="s">
        <v>97</v>
      </c>
      <c r="C1082" s="50">
        <v>317</v>
      </c>
      <c r="D1082" s="51" t="s">
        <v>71</v>
      </c>
    </row>
    <row r="1083" spans="2:4" x14ac:dyDescent="0.25">
      <c r="B1083" s="50" t="s">
        <v>97</v>
      </c>
      <c r="C1083" s="50">
        <v>456</v>
      </c>
      <c r="D1083" s="51" t="s">
        <v>71</v>
      </c>
    </row>
    <row r="1084" spans="2:4" x14ac:dyDescent="0.25">
      <c r="B1084" s="50" t="s">
        <v>97</v>
      </c>
      <c r="C1084" s="50">
        <v>516</v>
      </c>
      <c r="D1084" s="51" t="s">
        <v>71</v>
      </c>
    </row>
    <row r="1085" spans="2:4" x14ac:dyDescent="0.25">
      <c r="B1085" s="50" t="s">
        <v>97</v>
      </c>
      <c r="C1085" s="50">
        <v>472</v>
      </c>
      <c r="D1085" s="51" t="s">
        <v>71</v>
      </c>
    </row>
    <row r="1086" spans="2:4" x14ac:dyDescent="0.25">
      <c r="B1086" s="50" t="s">
        <v>97</v>
      </c>
      <c r="C1086" s="50">
        <v>331</v>
      </c>
      <c r="D1086" s="51" t="s">
        <v>71</v>
      </c>
    </row>
    <row r="1087" spans="2:4" x14ac:dyDescent="0.25">
      <c r="B1087" s="50" t="s">
        <v>97</v>
      </c>
      <c r="C1087" s="50">
        <v>422</v>
      </c>
      <c r="D1087" s="51" t="s">
        <v>71</v>
      </c>
    </row>
    <row r="1088" spans="2:4" x14ac:dyDescent="0.25">
      <c r="B1088" s="50" t="s">
        <v>97</v>
      </c>
      <c r="C1088" s="50">
        <v>397</v>
      </c>
      <c r="D1088" s="51" t="s">
        <v>71</v>
      </c>
    </row>
    <row r="1089" spans="2:4" x14ac:dyDescent="0.25">
      <c r="B1089" s="50" t="s">
        <v>97</v>
      </c>
      <c r="C1089" s="50">
        <v>465</v>
      </c>
      <c r="D1089" s="51" t="s">
        <v>71</v>
      </c>
    </row>
    <row r="1090" spans="2:4" x14ac:dyDescent="0.25">
      <c r="B1090" s="50" t="s">
        <v>97</v>
      </c>
      <c r="C1090" s="50">
        <v>514</v>
      </c>
      <c r="D1090" s="51" t="s">
        <v>71</v>
      </c>
    </row>
    <row r="1091" spans="2:4" x14ac:dyDescent="0.25">
      <c r="B1091" s="50" t="s">
        <v>97</v>
      </c>
      <c r="C1091" s="50">
        <v>436</v>
      </c>
      <c r="D1091" s="51" t="s">
        <v>72</v>
      </c>
    </row>
    <row r="1092" spans="2:4" x14ac:dyDescent="0.25">
      <c r="B1092" s="50" t="s">
        <v>97</v>
      </c>
      <c r="C1092" s="50">
        <v>541</v>
      </c>
      <c r="D1092" s="51" t="s">
        <v>72</v>
      </c>
    </row>
    <row r="1093" spans="2:4" x14ac:dyDescent="0.25">
      <c r="B1093" s="50" t="s">
        <v>97</v>
      </c>
      <c r="C1093" s="50">
        <v>392</v>
      </c>
      <c r="D1093" s="51" t="s">
        <v>72</v>
      </c>
    </row>
    <row r="1094" spans="2:4" x14ac:dyDescent="0.25">
      <c r="B1094" s="50" t="s">
        <v>97</v>
      </c>
      <c r="C1094" s="50">
        <v>428</v>
      </c>
      <c r="D1094" s="51" t="s">
        <v>72</v>
      </c>
    </row>
    <row r="1095" spans="2:4" x14ac:dyDescent="0.25">
      <c r="B1095" s="50" t="s">
        <v>97</v>
      </c>
      <c r="C1095" s="50">
        <v>319</v>
      </c>
      <c r="D1095" s="51" t="s">
        <v>72</v>
      </c>
    </row>
    <row r="1096" spans="2:4" x14ac:dyDescent="0.25">
      <c r="B1096" s="50" t="s">
        <v>97</v>
      </c>
      <c r="C1096" s="50">
        <v>492</v>
      </c>
      <c r="D1096" s="51" t="s">
        <v>72</v>
      </c>
    </row>
    <row r="1097" spans="2:4" x14ac:dyDescent="0.25">
      <c r="B1097" s="50" t="s">
        <v>97</v>
      </c>
      <c r="C1097" s="50">
        <v>358</v>
      </c>
      <c r="D1097" s="51" t="s">
        <v>72</v>
      </c>
    </row>
    <row r="1098" spans="2:4" x14ac:dyDescent="0.25">
      <c r="B1098" s="50" t="s">
        <v>97</v>
      </c>
      <c r="C1098" s="50">
        <v>347</v>
      </c>
      <c r="D1098" s="51" t="s">
        <v>72</v>
      </c>
    </row>
    <row r="1099" spans="2:4" x14ac:dyDescent="0.25">
      <c r="B1099" s="50" t="s">
        <v>97</v>
      </c>
      <c r="C1099" s="50">
        <v>539</v>
      </c>
      <c r="D1099" s="51" t="s">
        <v>72</v>
      </c>
    </row>
    <row r="1100" spans="2:4" x14ac:dyDescent="0.25">
      <c r="B1100" s="50" t="s">
        <v>97</v>
      </c>
      <c r="C1100" s="50">
        <v>491</v>
      </c>
      <c r="D1100" s="51" t="s">
        <v>72</v>
      </c>
    </row>
    <row r="1101" spans="2:4" x14ac:dyDescent="0.25">
      <c r="B1101" s="50" t="s">
        <v>97</v>
      </c>
      <c r="C1101" s="50">
        <v>537</v>
      </c>
      <c r="D1101" s="51" t="s">
        <v>72</v>
      </c>
    </row>
    <row r="1102" spans="2:4" x14ac:dyDescent="0.25">
      <c r="B1102" s="50" t="s">
        <v>97</v>
      </c>
      <c r="C1102" s="50">
        <v>526</v>
      </c>
      <c r="D1102" s="51" t="s">
        <v>72</v>
      </c>
    </row>
    <row r="1103" spans="2:4" x14ac:dyDescent="0.25">
      <c r="B1103" s="50" t="s">
        <v>97</v>
      </c>
      <c r="C1103" s="50">
        <v>488</v>
      </c>
      <c r="D1103" s="51" t="s">
        <v>72</v>
      </c>
    </row>
    <row r="1104" spans="2:4" x14ac:dyDescent="0.25">
      <c r="B1104" s="50" t="s">
        <v>97</v>
      </c>
      <c r="C1104" s="50">
        <v>497</v>
      </c>
      <c r="D1104" s="51" t="s">
        <v>72</v>
      </c>
    </row>
    <row r="1105" spans="2:4" x14ac:dyDescent="0.25">
      <c r="B1105" s="50" t="s">
        <v>97</v>
      </c>
      <c r="C1105" s="50">
        <v>501</v>
      </c>
      <c r="D1105" s="51" t="s">
        <v>72</v>
      </c>
    </row>
    <row r="1106" spans="2:4" x14ac:dyDescent="0.25">
      <c r="B1106" s="50" t="s">
        <v>97</v>
      </c>
      <c r="C1106" s="50">
        <v>536</v>
      </c>
      <c r="D1106" s="51" t="s">
        <v>72</v>
      </c>
    </row>
    <row r="1107" spans="2:4" x14ac:dyDescent="0.25">
      <c r="B1107" s="50" t="s">
        <v>97</v>
      </c>
      <c r="C1107" s="50">
        <v>413</v>
      </c>
      <c r="D1107" s="51" t="s">
        <v>72</v>
      </c>
    </row>
    <row r="1108" spans="2:4" x14ac:dyDescent="0.25">
      <c r="B1108" s="50" t="s">
        <v>97</v>
      </c>
      <c r="C1108" s="50">
        <v>484</v>
      </c>
      <c r="D1108" s="51" t="s">
        <v>72</v>
      </c>
    </row>
    <row r="1109" spans="2:4" x14ac:dyDescent="0.25">
      <c r="B1109" s="50" t="s">
        <v>97</v>
      </c>
      <c r="C1109" s="50">
        <v>502</v>
      </c>
      <c r="D1109" s="51" t="s">
        <v>72</v>
      </c>
    </row>
    <row r="1110" spans="2:4" x14ac:dyDescent="0.25">
      <c r="B1110" s="50" t="s">
        <v>97</v>
      </c>
      <c r="C1110" s="50">
        <v>451</v>
      </c>
      <c r="D1110" s="51" t="s">
        <v>72</v>
      </c>
    </row>
    <row r="1111" spans="2:4" x14ac:dyDescent="0.25">
      <c r="B1111" s="50" t="s">
        <v>97</v>
      </c>
      <c r="C1111" s="50">
        <v>326</v>
      </c>
      <c r="D1111" s="51" t="s">
        <v>73</v>
      </c>
    </row>
    <row r="1112" spans="2:4" x14ac:dyDescent="0.25">
      <c r="B1112" s="50" t="s">
        <v>97</v>
      </c>
      <c r="C1112" s="50">
        <v>407</v>
      </c>
      <c r="D1112" s="51" t="s">
        <v>73</v>
      </c>
    </row>
    <row r="1113" spans="2:4" x14ac:dyDescent="0.25">
      <c r="B1113" s="50" t="s">
        <v>97</v>
      </c>
      <c r="C1113" s="50">
        <v>505</v>
      </c>
      <c r="D1113" s="51" t="s">
        <v>73</v>
      </c>
    </row>
    <row r="1114" spans="2:4" x14ac:dyDescent="0.25">
      <c r="B1114" s="50" t="s">
        <v>97</v>
      </c>
      <c r="C1114" s="50">
        <v>305</v>
      </c>
      <c r="D1114" s="51" t="s">
        <v>73</v>
      </c>
    </row>
    <row r="1115" spans="2:4" x14ac:dyDescent="0.25">
      <c r="B1115" s="50" t="s">
        <v>97</v>
      </c>
      <c r="C1115" s="50">
        <v>520</v>
      </c>
      <c r="D1115" s="51" t="s">
        <v>73</v>
      </c>
    </row>
    <row r="1116" spans="2:4" x14ac:dyDescent="0.25">
      <c r="B1116" s="50" t="s">
        <v>98</v>
      </c>
      <c r="C1116" s="50">
        <v>400</v>
      </c>
      <c r="D1116" s="51" t="s">
        <v>67</v>
      </c>
    </row>
    <row r="1117" spans="2:4" x14ac:dyDescent="0.25">
      <c r="B1117" s="50" t="s">
        <v>98</v>
      </c>
      <c r="C1117" s="50">
        <v>362</v>
      </c>
      <c r="D1117" s="51" t="s">
        <v>68</v>
      </c>
    </row>
    <row r="1118" spans="2:4" x14ac:dyDescent="0.25">
      <c r="B1118" s="50" t="s">
        <v>98</v>
      </c>
      <c r="C1118" s="50">
        <v>469</v>
      </c>
      <c r="D1118" s="51" t="s">
        <v>68</v>
      </c>
    </row>
    <row r="1119" spans="2:4" x14ac:dyDescent="0.25">
      <c r="B1119" s="50" t="s">
        <v>98</v>
      </c>
      <c r="C1119" s="50">
        <v>420</v>
      </c>
      <c r="D1119" s="51" t="s">
        <v>68</v>
      </c>
    </row>
    <row r="1120" spans="2:4" x14ac:dyDescent="0.25">
      <c r="B1120" s="50" t="s">
        <v>98</v>
      </c>
      <c r="C1120" s="50">
        <v>442</v>
      </c>
      <c r="D1120" s="51" t="s">
        <v>68</v>
      </c>
    </row>
    <row r="1121" spans="2:4" x14ac:dyDescent="0.25">
      <c r="B1121" s="50" t="s">
        <v>98</v>
      </c>
      <c r="C1121" s="50">
        <v>306</v>
      </c>
      <c r="D1121" s="51" t="s">
        <v>68</v>
      </c>
    </row>
    <row r="1122" spans="2:4" x14ac:dyDescent="0.25">
      <c r="B1122" s="50" t="s">
        <v>98</v>
      </c>
      <c r="C1122" s="50">
        <v>445</v>
      </c>
      <c r="D1122" s="51" t="s">
        <v>69</v>
      </c>
    </row>
    <row r="1123" spans="2:4" x14ac:dyDescent="0.25">
      <c r="B1123" s="50" t="s">
        <v>98</v>
      </c>
      <c r="C1123" s="50">
        <v>399</v>
      </c>
      <c r="D1123" s="51" t="s">
        <v>69</v>
      </c>
    </row>
    <row r="1124" spans="2:4" x14ac:dyDescent="0.25">
      <c r="B1124" s="50" t="s">
        <v>98</v>
      </c>
      <c r="C1124" s="50">
        <v>440</v>
      </c>
      <c r="D1124" s="51" t="s">
        <v>69</v>
      </c>
    </row>
    <row r="1125" spans="2:4" x14ac:dyDescent="0.25">
      <c r="B1125" s="50" t="s">
        <v>98</v>
      </c>
      <c r="C1125" s="50">
        <v>545</v>
      </c>
      <c r="D1125" s="51" t="s">
        <v>69</v>
      </c>
    </row>
    <row r="1126" spans="2:4" x14ac:dyDescent="0.25">
      <c r="B1126" s="50" t="s">
        <v>98</v>
      </c>
      <c r="C1126" s="50">
        <v>418</v>
      </c>
      <c r="D1126" s="51" t="s">
        <v>69</v>
      </c>
    </row>
    <row r="1127" spans="2:4" x14ac:dyDescent="0.25">
      <c r="B1127" s="50" t="s">
        <v>98</v>
      </c>
      <c r="C1127" s="50">
        <v>444</v>
      </c>
      <c r="D1127" s="51" t="s">
        <v>69</v>
      </c>
    </row>
    <row r="1128" spans="2:4" x14ac:dyDescent="0.25">
      <c r="B1128" s="50" t="s">
        <v>98</v>
      </c>
      <c r="C1128" s="50">
        <v>333</v>
      </c>
      <c r="D1128" s="51" t="s">
        <v>70</v>
      </c>
    </row>
    <row r="1129" spans="2:4" x14ac:dyDescent="0.25">
      <c r="B1129" s="50" t="s">
        <v>98</v>
      </c>
      <c r="C1129" s="50">
        <v>508</v>
      </c>
      <c r="D1129" s="51" t="s">
        <v>70</v>
      </c>
    </row>
    <row r="1130" spans="2:4" x14ac:dyDescent="0.25">
      <c r="B1130" s="50" t="s">
        <v>98</v>
      </c>
      <c r="C1130" s="50">
        <v>323</v>
      </c>
      <c r="D1130" s="51" t="s">
        <v>70</v>
      </c>
    </row>
    <row r="1131" spans="2:4" x14ac:dyDescent="0.25">
      <c r="B1131" s="50" t="s">
        <v>98</v>
      </c>
      <c r="C1131" s="50">
        <v>500</v>
      </c>
      <c r="D1131" s="51" t="s">
        <v>70</v>
      </c>
    </row>
    <row r="1132" spans="2:4" x14ac:dyDescent="0.25">
      <c r="B1132" s="50" t="s">
        <v>98</v>
      </c>
      <c r="C1132" s="50">
        <v>390</v>
      </c>
      <c r="D1132" s="51" t="s">
        <v>70</v>
      </c>
    </row>
    <row r="1133" spans="2:4" x14ac:dyDescent="0.25">
      <c r="B1133" s="50" t="s">
        <v>98</v>
      </c>
      <c r="C1133" s="50">
        <v>314</v>
      </c>
      <c r="D1133" s="51" t="s">
        <v>70</v>
      </c>
    </row>
    <row r="1134" spans="2:4" x14ac:dyDescent="0.25">
      <c r="B1134" s="50" t="s">
        <v>98</v>
      </c>
      <c r="C1134" s="50">
        <v>546</v>
      </c>
      <c r="D1134" s="51" t="s">
        <v>70</v>
      </c>
    </row>
    <row r="1135" spans="2:4" x14ac:dyDescent="0.25">
      <c r="B1135" s="50" t="s">
        <v>98</v>
      </c>
      <c r="C1135" s="50">
        <v>448</v>
      </c>
      <c r="D1135" s="51" t="s">
        <v>70</v>
      </c>
    </row>
    <row r="1136" spans="2:4" x14ac:dyDescent="0.25">
      <c r="B1136" s="50" t="s">
        <v>98</v>
      </c>
      <c r="C1136" s="50">
        <v>376</v>
      </c>
      <c r="D1136" s="51" t="s">
        <v>70</v>
      </c>
    </row>
    <row r="1137" spans="2:4" x14ac:dyDescent="0.25">
      <c r="B1137" s="50" t="s">
        <v>98</v>
      </c>
      <c r="C1137" s="50">
        <v>506</v>
      </c>
      <c r="D1137" s="51" t="s">
        <v>70</v>
      </c>
    </row>
    <row r="1138" spans="2:4" x14ac:dyDescent="0.25">
      <c r="B1138" s="50" t="s">
        <v>98</v>
      </c>
      <c r="C1138" s="50">
        <v>447</v>
      </c>
      <c r="D1138" s="51" t="s">
        <v>70</v>
      </c>
    </row>
    <row r="1139" spans="2:4" x14ac:dyDescent="0.25">
      <c r="B1139" s="50" t="s">
        <v>98</v>
      </c>
      <c r="C1139" s="50">
        <v>463</v>
      </c>
      <c r="D1139" s="51" t="s">
        <v>70</v>
      </c>
    </row>
    <row r="1140" spans="2:4" x14ac:dyDescent="0.25">
      <c r="B1140" s="50" t="s">
        <v>98</v>
      </c>
      <c r="C1140" s="50">
        <v>365</v>
      </c>
      <c r="D1140" s="51" t="s">
        <v>70</v>
      </c>
    </row>
    <row r="1141" spans="2:4" x14ac:dyDescent="0.25">
      <c r="B1141" s="50" t="s">
        <v>98</v>
      </c>
      <c r="C1141" s="50">
        <v>424</v>
      </c>
      <c r="D1141" s="51" t="s">
        <v>70</v>
      </c>
    </row>
    <row r="1142" spans="2:4" x14ac:dyDescent="0.25">
      <c r="B1142" s="50" t="s">
        <v>98</v>
      </c>
      <c r="C1142" s="50">
        <v>416</v>
      </c>
      <c r="D1142" s="51" t="s">
        <v>70</v>
      </c>
    </row>
    <row r="1143" spans="2:4" x14ac:dyDescent="0.25">
      <c r="B1143" s="50" t="s">
        <v>98</v>
      </c>
      <c r="C1143" s="50">
        <v>301</v>
      </c>
      <c r="D1143" s="51" t="s">
        <v>70</v>
      </c>
    </row>
    <row r="1144" spans="2:4" x14ac:dyDescent="0.25">
      <c r="B1144" s="50" t="s">
        <v>98</v>
      </c>
      <c r="C1144" s="50">
        <v>328</v>
      </c>
      <c r="D1144" s="51" t="s">
        <v>70</v>
      </c>
    </row>
    <row r="1145" spans="2:4" x14ac:dyDescent="0.25">
      <c r="B1145" s="50" t="s">
        <v>98</v>
      </c>
      <c r="C1145" s="50">
        <v>377</v>
      </c>
      <c r="D1145" s="51" t="s">
        <v>70</v>
      </c>
    </row>
    <row r="1146" spans="2:4" x14ac:dyDescent="0.25">
      <c r="B1146" s="50" t="s">
        <v>98</v>
      </c>
      <c r="C1146" s="50">
        <v>471</v>
      </c>
      <c r="D1146" s="51" t="s">
        <v>70</v>
      </c>
    </row>
    <row r="1147" spans="2:4" x14ac:dyDescent="0.25">
      <c r="B1147" s="50" t="s">
        <v>98</v>
      </c>
      <c r="C1147" s="50">
        <v>527</v>
      </c>
      <c r="D1147" s="51" t="s">
        <v>70</v>
      </c>
    </row>
    <row r="1148" spans="2:4" x14ac:dyDescent="0.25">
      <c r="B1148" s="50" t="s">
        <v>98</v>
      </c>
      <c r="C1148" s="50">
        <v>450</v>
      </c>
      <c r="D1148" s="51" t="s">
        <v>70</v>
      </c>
    </row>
    <row r="1149" spans="2:4" x14ac:dyDescent="0.25">
      <c r="B1149" s="50" t="s">
        <v>98</v>
      </c>
      <c r="C1149" s="50">
        <v>403</v>
      </c>
      <c r="D1149" s="51" t="s">
        <v>70</v>
      </c>
    </row>
    <row r="1150" spans="2:4" x14ac:dyDescent="0.25">
      <c r="B1150" s="50" t="s">
        <v>98</v>
      </c>
      <c r="C1150" s="50">
        <v>373</v>
      </c>
      <c r="D1150" s="51" t="s">
        <v>70</v>
      </c>
    </row>
    <row r="1151" spans="2:4" x14ac:dyDescent="0.25">
      <c r="B1151" s="50" t="s">
        <v>98</v>
      </c>
      <c r="C1151" s="50">
        <v>361</v>
      </c>
      <c r="D1151" s="51" t="s">
        <v>70</v>
      </c>
    </row>
    <row r="1152" spans="2:4" x14ac:dyDescent="0.25">
      <c r="B1152" s="50" t="s">
        <v>98</v>
      </c>
      <c r="C1152" s="50">
        <v>510</v>
      </c>
      <c r="D1152" s="51" t="s">
        <v>70</v>
      </c>
    </row>
    <row r="1153" spans="2:4" x14ac:dyDescent="0.25">
      <c r="B1153" s="50" t="s">
        <v>98</v>
      </c>
      <c r="C1153" s="50">
        <v>332</v>
      </c>
      <c r="D1153" s="51" t="s">
        <v>70</v>
      </c>
    </row>
    <row r="1154" spans="2:4" x14ac:dyDescent="0.25">
      <c r="B1154" s="50" t="s">
        <v>98</v>
      </c>
      <c r="C1154" s="50">
        <v>509</v>
      </c>
      <c r="D1154" s="51" t="s">
        <v>70</v>
      </c>
    </row>
    <row r="1155" spans="2:4" x14ac:dyDescent="0.25">
      <c r="B1155" s="50" t="s">
        <v>98</v>
      </c>
      <c r="C1155" s="50">
        <v>515</v>
      </c>
      <c r="D1155" s="51" t="s">
        <v>70</v>
      </c>
    </row>
    <row r="1156" spans="2:4" x14ac:dyDescent="0.25">
      <c r="B1156" s="50" t="s">
        <v>98</v>
      </c>
      <c r="C1156" s="50">
        <v>322</v>
      </c>
      <c r="D1156" s="51" t="s">
        <v>70</v>
      </c>
    </row>
    <row r="1157" spans="2:4" x14ac:dyDescent="0.25">
      <c r="B1157" s="50" t="s">
        <v>98</v>
      </c>
      <c r="C1157" s="50">
        <v>503</v>
      </c>
      <c r="D1157" s="51" t="s">
        <v>70</v>
      </c>
    </row>
    <row r="1158" spans="2:4" x14ac:dyDescent="0.25">
      <c r="B1158" s="50" t="s">
        <v>98</v>
      </c>
      <c r="C1158" s="50">
        <v>495</v>
      </c>
      <c r="D1158" s="51" t="s">
        <v>70</v>
      </c>
    </row>
    <row r="1159" spans="2:4" x14ac:dyDescent="0.25">
      <c r="B1159" s="50" t="s">
        <v>98</v>
      </c>
      <c r="C1159" s="50">
        <v>433</v>
      </c>
      <c r="D1159" s="51" t="s">
        <v>70</v>
      </c>
    </row>
    <row r="1160" spans="2:4" x14ac:dyDescent="0.25">
      <c r="B1160" s="50" t="s">
        <v>98</v>
      </c>
      <c r="C1160" s="50">
        <v>496</v>
      </c>
      <c r="D1160" s="51" t="s">
        <v>70</v>
      </c>
    </row>
    <row r="1161" spans="2:4" x14ac:dyDescent="0.25">
      <c r="B1161" s="50" t="s">
        <v>98</v>
      </c>
      <c r="C1161" s="50">
        <v>517</v>
      </c>
      <c r="D1161" s="51" t="s">
        <v>70</v>
      </c>
    </row>
    <row r="1162" spans="2:4" x14ac:dyDescent="0.25">
      <c r="B1162" s="50" t="s">
        <v>98</v>
      </c>
      <c r="C1162" s="50">
        <v>393</v>
      </c>
      <c r="D1162" s="51" t="s">
        <v>70</v>
      </c>
    </row>
    <row r="1163" spans="2:4" x14ac:dyDescent="0.25">
      <c r="B1163" s="50" t="s">
        <v>98</v>
      </c>
      <c r="C1163" s="50">
        <v>519</v>
      </c>
      <c r="D1163" s="51" t="s">
        <v>70</v>
      </c>
    </row>
    <row r="1164" spans="2:4" x14ac:dyDescent="0.25">
      <c r="B1164" s="50" t="s">
        <v>98</v>
      </c>
      <c r="C1164" s="50">
        <v>201</v>
      </c>
      <c r="D1164" s="51" t="s">
        <v>70</v>
      </c>
    </row>
    <row r="1165" spans="2:4" x14ac:dyDescent="0.25">
      <c r="B1165" s="50" t="s">
        <v>98</v>
      </c>
      <c r="C1165" s="50">
        <v>464</v>
      </c>
      <c r="D1165" s="51" t="s">
        <v>70</v>
      </c>
    </row>
    <row r="1166" spans="2:4" x14ac:dyDescent="0.25">
      <c r="B1166" s="50" t="s">
        <v>98</v>
      </c>
      <c r="C1166" s="50">
        <v>423</v>
      </c>
      <c r="D1166" s="51" t="s">
        <v>70</v>
      </c>
    </row>
    <row r="1167" spans="2:4" x14ac:dyDescent="0.25">
      <c r="B1167" s="50" t="s">
        <v>98</v>
      </c>
      <c r="C1167" s="50">
        <v>417</v>
      </c>
      <c r="D1167" s="51" t="s">
        <v>70</v>
      </c>
    </row>
    <row r="1168" spans="2:4" x14ac:dyDescent="0.25">
      <c r="B1168" s="50" t="s">
        <v>98</v>
      </c>
      <c r="C1168" s="50">
        <v>544</v>
      </c>
      <c r="D1168" s="51" t="s">
        <v>70</v>
      </c>
    </row>
    <row r="1169" spans="2:4" x14ac:dyDescent="0.25">
      <c r="B1169" s="50" t="s">
        <v>98</v>
      </c>
      <c r="C1169" s="50">
        <v>385</v>
      </c>
      <c r="D1169" s="51" t="s">
        <v>70</v>
      </c>
    </row>
    <row r="1170" spans="2:4" x14ac:dyDescent="0.25">
      <c r="B1170" s="50" t="s">
        <v>98</v>
      </c>
      <c r="C1170" s="50">
        <v>452</v>
      </c>
      <c r="D1170" s="51" t="s">
        <v>70</v>
      </c>
    </row>
    <row r="1171" spans="2:4" x14ac:dyDescent="0.25">
      <c r="B1171" s="50" t="s">
        <v>98</v>
      </c>
      <c r="C1171" s="50">
        <v>518</v>
      </c>
      <c r="D1171" s="51" t="s">
        <v>70</v>
      </c>
    </row>
    <row r="1172" spans="2:4" x14ac:dyDescent="0.25">
      <c r="B1172" s="50" t="s">
        <v>98</v>
      </c>
      <c r="C1172" s="50">
        <v>432</v>
      </c>
      <c r="D1172" s="51" t="s">
        <v>70</v>
      </c>
    </row>
    <row r="1173" spans="2:4" x14ac:dyDescent="0.25">
      <c r="B1173" s="50" t="s">
        <v>98</v>
      </c>
      <c r="C1173" s="50">
        <v>308</v>
      </c>
      <c r="D1173" s="51" t="s">
        <v>71</v>
      </c>
    </row>
    <row r="1174" spans="2:4" x14ac:dyDescent="0.25">
      <c r="B1174" s="50" t="s">
        <v>98</v>
      </c>
      <c r="C1174" s="50">
        <v>532</v>
      </c>
      <c r="D1174" s="51" t="s">
        <v>71</v>
      </c>
    </row>
    <row r="1175" spans="2:4" x14ac:dyDescent="0.25">
      <c r="B1175" s="50" t="s">
        <v>98</v>
      </c>
      <c r="C1175" s="50">
        <v>482</v>
      </c>
      <c r="D1175" s="51" t="s">
        <v>71</v>
      </c>
    </row>
    <row r="1176" spans="2:4" x14ac:dyDescent="0.25">
      <c r="B1176" s="50" t="s">
        <v>98</v>
      </c>
      <c r="C1176" s="50">
        <v>479</v>
      </c>
      <c r="D1176" s="51" t="s">
        <v>71</v>
      </c>
    </row>
    <row r="1177" spans="2:4" x14ac:dyDescent="0.25">
      <c r="B1177" s="50" t="s">
        <v>98</v>
      </c>
      <c r="C1177" s="50">
        <v>528</v>
      </c>
      <c r="D1177" s="51" t="s">
        <v>71</v>
      </c>
    </row>
    <row r="1178" spans="2:4" x14ac:dyDescent="0.25">
      <c r="B1178" s="50" t="s">
        <v>98</v>
      </c>
      <c r="C1178" s="50">
        <v>487</v>
      </c>
      <c r="D1178" s="51" t="s">
        <v>71</v>
      </c>
    </row>
    <row r="1179" spans="2:4" x14ac:dyDescent="0.25">
      <c r="B1179" s="50" t="s">
        <v>98</v>
      </c>
      <c r="C1179" s="50">
        <v>472</v>
      </c>
      <c r="D1179" s="51" t="s">
        <v>71</v>
      </c>
    </row>
    <row r="1180" spans="2:4" x14ac:dyDescent="0.25">
      <c r="B1180" s="50" t="s">
        <v>98</v>
      </c>
      <c r="C1180" s="50">
        <v>415</v>
      </c>
      <c r="D1180" s="51" t="s">
        <v>71</v>
      </c>
    </row>
    <row r="1181" spans="2:4" x14ac:dyDescent="0.25">
      <c r="B1181" s="50" t="s">
        <v>98</v>
      </c>
      <c r="C1181" s="50">
        <v>467</v>
      </c>
      <c r="D1181" s="51" t="s">
        <v>71</v>
      </c>
    </row>
    <row r="1182" spans="2:4" x14ac:dyDescent="0.25">
      <c r="B1182" s="50" t="s">
        <v>98</v>
      </c>
      <c r="C1182" s="50">
        <v>543</v>
      </c>
      <c r="D1182" s="51" t="s">
        <v>71</v>
      </c>
    </row>
    <row r="1183" spans="2:4" x14ac:dyDescent="0.25">
      <c r="B1183" s="50" t="s">
        <v>98</v>
      </c>
      <c r="C1183" s="50">
        <v>421</v>
      </c>
      <c r="D1183" s="51" t="s">
        <v>71</v>
      </c>
    </row>
    <row r="1184" spans="2:4" x14ac:dyDescent="0.25">
      <c r="B1184" s="50" t="s">
        <v>98</v>
      </c>
      <c r="C1184" s="50">
        <v>438</v>
      </c>
      <c r="D1184" s="51" t="s">
        <v>71</v>
      </c>
    </row>
    <row r="1185" spans="2:4" x14ac:dyDescent="0.25">
      <c r="B1185" s="50" t="s">
        <v>98</v>
      </c>
      <c r="C1185" s="50">
        <v>455</v>
      </c>
      <c r="D1185" s="51" t="s">
        <v>71</v>
      </c>
    </row>
    <row r="1186" spans="2:4" x14ac:dyDescent="0.25">
      <c r="B1186" s="50" t="s">
        <v>98</v>
      </c>
      <c r="C1186" s="50">
        <v>513</v>
      </c>
      <c r="D1186" s="51" t="s">
        <v>71</v>
      </c>
    </row>
    <row r="1187" spans="2:4" x14ac:dyDescent="0.25">
      <c r="B1187" s="50" t="s">
        <v>98</v>
      </c>
      <c r="C1187" s="50">
        <v>533</v>
      </c>
      <c r="D1187" s="51" t="s">
        <v>71</v>
      </c>
    </row>
    <row r="1188" spans="2:4" x14ac:dyDescent="0.25">
      <c r="B1188" s="50" t="s">
        <v>98</v>
      </c>
      <c r="C1188" s="50">
        <v>407</v>
      </c>
      <c r="D1188" s="51" t="s">
        <v>71</v>
      </c>
    </row>
    <row r="1189" spans="2:4" x14ac:dyDescent="0.25">
      <c r="B1189" s="50" t="s">
        <v>98</v>
      </c>
      <c r="C1189" s="50">
        <v>304</v>
      </c>
      <c r="D1189" s="51" t="s">
        <v>71</v>
      </c>
    </row>
    <row r="1190" spans="2:4" x14ac:dyDescent="0.25">
      <c r="B1190" s="50" t="s">
        <v>98</v>
      </c>
      <c r="C1190" s="50">
        <v>504</v>
      </c>
      <c r="D1190" s="51" t="s">
        <v>71</v>
      </c>
    </row>
    <row r="1191" spans="2:4" x14ac:dyDescent="0.25">
      <c r="B1191" s="50" t="s">
        <v>98</v>
      </c>
      <c r="C1191" s="50">
        <v>529</v>
      </c>
      <c r="D1191" s="51" t="s">
        <v>71</v>
      </c>
    </row>
    <row r="1192" spans="2:4" x14ac:dyDescent="0.25">
      <c r="B1192" s="50" t="s">
        <v>98</v>
      </c>
      <c r="C1192" s="50">
        <v>523</v>
      </c>
      <c r="D1192" s="51" t="s">
        <v>71</v>
      </c>
    </row>
    <row r="1193" spans="2:4" x14ac:dyDescent="0.25">
      <c r="B1193" s="50" t="s">
        <v>98</v>
      </c>
      <c r="C1193" s="50">
        <v>428</v>
      </c>
      <c r="D1193" s="51" t="s">
        <v>71</v>
      </c>
    </row>
    <row r="1194" spans="2:4" x14ac:dyDescent="0.25">
      <c r="B1194" s="50" t="s">
        <v>98</v>
      </c>
      <c r="C1194" s="50">
        <v>331</v>
      </c>
      <c r="D1194" s="51" t="s">
        <v>71</v>
      </c>
    </row>
    <row r="1195" spans="2:4" x14ac:dyDescent="0.25">
      <c r="B1195" s="50" t="s">
        <v>98</v>
      </c>
      <c r="C1195" s="50">
        <v>521</v>
      </c>
      <c r="D1195" s="51" t="s">
        <v>71</v>
      </c>
    </row>
    <row r="1196" spans="2:4" x14ac:dyDescent="0.25">
      <c r="B1196" s="50" t="s">
        <v>98</v>
      </c>
      <c r="C1196" s="50">
        <v>335</v>
      </c>
      <c r="D1196" s="51" t="s">
        <v>71</v>
      </c>
    </row>
    <row r="1197" spans="2:4" x14ac:dyDescent="0.25">
      <c r="B1197" s="50" t="s">
        <v>98</v>
      </c>
      <c r="C1197" s="50">
        <v>317</v>
      </c>
      <c r="D1197" s="51" t="s">
        <v>71</v>
      </c>
    </row>
    <row r="1198" spans="2:4" x14ac:dyDescent="0.25">
      <c r="B1198" s="50" t="s">
        <v>98</v>
      </c>
      <c r="C1198" s="50">
        <v>356</v>
      </c>
      <c r="D1198" s="51" t="s">
        <v>71</v>
      </c>
    </row>
    <row r="1199" spans="2:4" x14ac:dyDescent="0.25">
      <c r="B1199" s="50" t="s">
        <v>98</v>
      </c>
      <c r="C1199" s="50">
        <v>468</v>
      </c>
      <c r="D1199" s="51" t="s">
        <v>71</v>
      </c>
    </row>
    <row r="1200" spans="2:4" x14ac:dyDescent="0.25">
      <c r="B1200" s="50" t="s">
        <v>98</v>
      </c>
      <c r="C1200" s="50">
        <v>499</v>
      </c>
      <c r="D1200" s="51" t="s">
        <v>71</v>
      </c>
    </row>
    <row r="1201" spans="2:4" x14ac:dyDescent="0.25">
      <c r="B1201" s="50" t="s">
        <v>98</v>
      </c>
      <c r="C1201" s="50">
        <v>462</v>
      </c>
      <c r="D1201" s="51" t="s">
        <v>71</v>
      </c>
    </row>
    <row r="1202" spans="2:4" x14ac:dyDescent="0.25">
      <c r="B1202" s="50" t="s">
        <v>98</v>
      </c>
      <c r="C1202" s="50">
        <v>522</v>
      </c>
      <c r="D1202" s="51" t="s">
        <v>71</v>
      </c>
    </row>
    <row r="1203" spans="2:4" x14ac:dyDescent="0.25">
      <c r="B1203" s="50" t="s">
        <v>98</v>
      </c>
      <c r="C1203" s="50">
        <v>422</v>
      </c>
      <c r="D1203" s="51" t="s">
        <v>71</v>
      </c>
    </row>
    <row r="1204" spans="2:4" x14ac:dyDescent="0.25">
      <c r="B1204" s="50" t="s">
        <v>98</v>
      </c>
      <c r="C1204" s="50">
        <v>321</v>
      </c>
      <c r="D1204" s="51" t="s">
        <v>71</v>
      </c>
    </row>
    <row r="1205" spans="2:4" x14ac:dyDescent="0.25">
      <c r="B1205" s="50" t="s">
        <v>98</v>
      </c>
      <c r="C1205" s="50">
        <v>488</v>
      </c>
      <c r="D1205" s="51" t="s">
        <v>71</v>
      </c>
    </row>
    <row r="1206" spans="2:4" x14ac:dyDescent="0.25">
      <c r="B1206" s="50" t="s">
        <v>98</v>
      </c>
      <c r="C1206" s="50">
        <v>497</v>
      </c>
      <c r="D1206" s="51" t="s">
        <v>71</v>
      </c>
    </row>
    <row r="1207" spans="2:4" x14ac:dyDescent="0.25">
      <c r="B1207" s="50" t="s">
        <v>98</v>
      </c>
      <c r="C1207" s="50">
        <v>406</v>
      </c>
      <c r="D1207" s="51" t="s">
        <v>71</v>
      </c>
    </row>
    <row r="1208" spans="2:4" x14ac:dyDescent="0.25">
      <c r="B1208" s="50" t="s">
        <v>98</v>
      </c>
      <c r="C1208" s="50">
        <v>538</v>
      </c>
      <c r="D1208" s="51" t="s">
        <v>71</v>
      </c>
    </row>
    <row r="1209" spans="2:4" x14ac:dyDescent="0.25">
      <c r="B1209" s="50" t="s">
        <v>98</v>
      </c>
      <c r="C1209" s="50">
        <v>494</v>
      </c>
      <c r="D1209" s="51" t="s">
        <v>71</v>
      </c>
    </row>
    <row r="1210" spans="2:4" x14ac:dyDescent="0.25">
      <c r="B1210" s="50" t="s">
        <v>98</v>
      </c>
      <c r="C1210" s="50">
        <v>511</v>
      </c>
      <c r="D1210" s="51" t="s">
        <v>71</v>
      </c>
    </row>
    <row r="1211" spans="2:4" x14ac:dyDescent="0.25">
      <c r="B1211" s="50" t="s">
        <v>98</v>
      </c>
      <c r="C1211" s="50">
        <v>456</v>
      </c>
      <c r="D1211" s="51" t="s">
        <v>71</v>
      </c>
    </row>
    <row r="1212" spans="2:4" x14ac:dyDescent="0.25">
      <c r="B1212" s="50" t="s">
        <v>98</v>
      </c>
      <c r="C1212" s="50">
        <v>477</v>
      </c>
      <c r="D1212" s="51" t="s">
        <v>71</v>
      </c>
    </row>
    <row r="1213" spans="2:4" x14ac:dyDescent="0.25">
      <c r="B1213" s="50" t="s">
        <v>98</v>
      </c>
      <c r="C1213" s="50">
        <v>474</v>
      </c>
      <c r="D1213" s="51" t="s">
        <v>71</v>
      </c>
    </row>
    <row r="1214" spans="2:4" x14ac:dyDescent="0.25">
      <c r="B1214" s="50" t="s">
        <v>98</v>
      </c>
      <c r="C1214" s="50">
        <v>429</v>
      </c>
      <c r="D1214" s="51" t="s">
        <v>71</v>
      </c>
    </row>
    <row r="1215" spans="2:4" x14ac:dyDescent="0.25">
      <c r="B1215" s="50" t="s">
        <v>98</v>
      </c>
      <c r="C1215" s="50">
        <v>454</v>
      </c>
      <c r="D1215" s="51" t="s">
        <v>71</v>
      </c>
    </row>
    <row r="1216" spans="2:4" x14ac:dyDescent="0.25">
      <c r="B1216" s="50" t="s">
        <v>98</v>
      </c>
      <c r="C1216" s="50">
        <v>507</v>
      </c>
      <c r="D1216" s="51" t="s">
        <v>71</v>
      </c>
    </row>
    <row r="1217" spans="2:4" x14ac:dyDescent="0.25">
      <c r="B1217" s="50" t="s">
        <v>98</v>
      </c>
      <c r="C1217" s="50">
        <v>490</v>
      </c>
      <c r="D1217" s="51" t="s">
        <v>71</v>
      </c>
    </row>
    <row r="1218" spans="2:4" x14ac:dyDescent="0.25">
      <c r="B1218" s="50" t="s">
        <v>98</v>
      </c>
      <c r="C1218" s="50">
        <v>493</v>
      </c>
      <c r="D1218" s="51" t="s">
        <v>71</v>
      </c>
    </row>
    <row r="1219" spans="2:4" x14ac:dyDescent="0.25">
      <c r="B1219" s="50" t="s">
        <v>98</v>
      </c>
      <c r="C1219" s="50">
        <v>489</v>
      </c>
      <c r="D1219" s="51" t="s">
        <v>71</v>
      </c>
    </row>
    <row r="1220" spans="2:4" x14ac:dyDescent="0.25">
      <c r="B1220" s="50" t="s">
        <v>98</v>
      </c>
      <c r="C1220" s="50">
        <v>397</v>
      </c>
      <c r="D1220" s="51" t="s">
        <v>71</v>
      </c>
    </row>
    <row r="1221" spans="2:4" x14ac:dyDescent="0.25">
      <c r="B1221" s="50" t="s">
        <v>98</v>
      </c>
      <c r="C1221" s="50">
        <v>334</v>
      </c>
      <c r="D1221" s="51" t="s">
        <v>71</v>
      </c>
    </row>
    <row r="1222" spans="2:4" x14ac:dyDescent="0.25">
      <c r="B1222" s="50" t="s">
        <v>98</v>
      </c>
      <c r="C1222" s="50">
        <v>501</v>
      </c>
      <c r="D1222" s="51" t="s">
        <v>71</v>
      </c>
    </row>
    <row r="1223" spans="2:4" x14ac:dyDescent="0.25">
      <c r="B1223" s="50" t="s">
        <v>98</v>
      </c>
      <c r="C1223" s="50">
        <v>514</v>
      </c>
      <c r="D1223" s="51" t="s">
        <v>71</v>
      </c>
    </row>
    <row r="1224" spans="2:4" x14ac:dyDescent="0.25">
      <c r="B1224" s="50" t="s">
        <v>98</v>
      </c>
      <c r="C1224" s="50">
        <v>478</v>
      </c>
      <c r="D1224" s="51" t="s">
        <v>71</v>
      </c>
    </row>
    <row r="1225" spans="2:4" x14ac:dyDescent="0.25">
      <c r="B1225" s="50" t="s">
        <v>98</v>
      </c>
      <c r="C1225" s="50">
        <v>313</v>
      </c>
      <c r="D1225" s="51" t="s">
        <v>71</v>
      </c>
    </row>
    <row r="1226" spans="2:4" x14ac:dyDescent="0.25">
      <c r="B1226" s="50" t="s">
        <v>98</v>
      </c>
      <c r="C1226" s="50">
        <v>492</v>
      </c>
      <c r="D1226" s="51" t="s">
        <v>71</v>
      </c>
    </row>
    <row r="1227" spans="2:4" x14ac:dyDescent="0.25">
      <c r="B1227" s="50" t="s">
        <v>98</v>
      </c>
      <c r="C1227" s="50">
        <v>402</v>
      </c>
      <c r="D1227" s="51" t="s">
        <v>71</v>
      </c>
    </row>
    <row r="1228" spans="2:4" x14ac:dyDescent="0.25">
      <c r="B1228" s="50" t="s">
        <v>98</v>
      </c>
      <c r="C1228" s="50">
        <v>305</v>
      </c>
      <c r="D1228" s="51" t="s">
        <v>71</v>
      </c>
    </row>
    <row r="1229" spans="2:4" x14ac:dyDescent="0.25">
      <c r="B1229" s="50" t="s">
        <v>98</v>
      </c>
      <c r="C1229" s="50">
        <v>475</v>
      </c>
      <c r="D1229" s="51" t="s">
        <v>71</v>
      </c>
    </row>
    <row r="1230" spans="2:4" x14ac:dyDescent="0.25">
      <c r="B1230" s="50" t="s">
        <v>98</v>
      </c>
      <c r="C1230" s="50">
        <v>319</v>
      </c>
      <c r="D1230" s="51" t="s">
        <v>72</v>
      </c>
    </row>
    <row r="1231" spans="2:4" x14ac:dyDescent="0.25">
      <c r="B1231" s="50" t="s">
        <v>98</v>
      </c>
      <c r="C1231" s="50">
        <v>541</v>
      </c>
      <c r="D1231" s="51" t="s">
        <v>72</v>
      </c>
    </row>
    <row r="1232" spans="2:4" x14ac:dyDescent="0.25">
      <c r="B1232" s="50" t="s">
        <v>98</v>
      </c>
      <c r="C1232" s="50">
        <v>531</v>
      </c>
      <c r="D1232" s="51" t="s">
        <v>72</v>
      </c>
    </row>
    <row r="1233" spans="2:4" x14ac:dyDescent="0.25">
      <c r="B1233" s="50" t="s">
        <v>98</v>
      </c>
      <c r="C1233" s="50">
        <v>358</v>
      </c>
      <c r="D1233" s="51" t="s">
        <v>72</v>
      </c>
    </row>
    <row r="1234" spans="2:4" x14ac:dyDescent="0.25">
      <c r="B1234" s="50" t="s">
        <v>98</v>
      </c>
      <c r="C1234" s="50">
        <v>370</v>
      </c>
      <c r="D1234" s="51" t="s">
        <v>72</v>
      </c>
    </row>
    <row r="1235" spans="2:4" x14ac:dyDescent="0.25">
      <c r="B1235" s="50" t="s">
        <v>98</v>
      </c>
      <c r="C1235" s="50">
        <v>326</v>
      </c>
      <c r="D1235" s="51" t="s">
        <v>72</v>
      </c>
    </row>
    <row r="1236" spans="2:4" x14ac:dyDescent="0.25">
      <c r="B1236" s="50" t="s">
        <v>98</v>
      </c>
      <c r="C1236" s="50">
        <v>465</v>
      </c>
      <c r="D1236" s="51" t="s">
        <v>72</v>
      </c>
    </row>
    <row r="1237" spans="2:4" x14ac:dyDescent="0.25">
      <c r="B1237" s="50" t="s">
        <v>98</v>
      </c>
      <c r="C1237" s="50">
        <v>536</v>
      </c>
      <c r="D1237" s="51" t="s">
        <v>72</v>
      </c>
    </row>
    <row r="1238" spans="2:4" x14ac:dyDescent="0.25">
      <c r="B1238" s="50" t="s">
        <v>98</v>
      </c>
      <c r="C1238" s="50">
        <v>526</v>
      </c>
      <c r="D1238" s="51" t="s">
        <v>72</v>
      </c>
    </row>
    <row r="1239" spans="2:4" x14ac:dyDescent="0.25">
      <c r="B1239" s="50" t="s">
        <v>98</v>
      </c>
      <c r="C1239" s="50">
        <v>436</v>
      </c>
      <c r="D1239" s="51" t="s">
        <v>72</v>
      </c>
    </row>
    <row r="1240" spans="2:4" x14ac:dyDescent="0.25">
      <c r="B1240" s="50" t="s">
        <v>98</v>
      </c>
      <c r="C1240" s="50">
        <v>392</v>
      </c>
      <c r="D1240" s="51" t="s">
        <v>72</v>
      </c>
    </row>
    <row r="1241" spans="2:4" x14ac:dyDescent="0.25">
      <c r="B1241" s="50" t="s">
        <v>98</v>
      </c>
      <c r="C1241" s="50">
        <v>413</v>
      </c>
      <c r="D1241" s="51" t="s">
        <v>72</v>
      </c>
    </row>
    <row r="1242" spans="2:4" x14ac:dyDescent="0.25">
      <c r="B1242" s="50" t="s">
        <v>98</v>
      </c>
      <c r="C1242" s="50">
        <v>451</v>
      </c>
      <c r="D1242" s="51" t="s">
        <v>72</v>
      </c>
    </row>
    <row r="1243" spans="2:4" x14ac:dyDescent="0.25">
      <c r="B1243" s="50" t="s">
        <v>98</v>
      </c>
      <c r="C1243" s="50">
        <v>502</v>
      </c>
      <c r="D1243" s="51" t="s">
        <v>72</v>
      </c>
    </row>
    <row r="1244" spans="2:4" x14ac:dyDescent="0.25">
      <c r="B1244" s="50" t="s">
        <v>98</v>
      </c>
      <c r="C1244" s="50">
        <v>405</v>
      </c>
      <c r="D1244" s="51" t="s">
        <v>72</v>
      </c>
    </row>
    <row r="1245" spans="2:4" x14ac:dyDescent="0.25">
      <c r="B1245" s="50" t="s">
        <v>98</v>
      </c>
      <c r="C1245" s="50">
        <v>481</v>
      </c>
      <c r="D1245" s="51" t="s">
        <v>72</v>
      </c>
    </row>
    <row r="1246" spans="2:4" x14ac:dyDescent="0.25">
      <c r="B1246" s="50" t="s">
        <v>98</v>
      </c>
      <c r="C1246" s="50">
        <v>491</v>
      </c>
      <c r="D1246" s="51" t="s">
        <v>72</v>
      </c>
    </row>
    <row r="1247" spans="2:4" x14ac:dyDescent="0.25">
      <c r="B1247" s="50" t="s">
        <v>98</v>
      </c>
      <c r="C1247" s="50">
        <v>537</v>
      </c>
      <c r="D1247" s="51" t="s">
        <v>72</v>
      </c>
    </row>
    <row r="1248" spans="2:4" x14ac:dyDescent="0.25">
      <c r="B1248" s="50" t="s">
        <v>98</v>
      </c>
      <c r="C1248" s="50">
        <v>516</v>
      </c>
      <c r="D1248" s="51" t="s">
        <v>72</v>
      </c>
    </row>
    <row r="1249" spans="2:4" x14ac:dyDescent="0.25">
      <c r="B1249" s="50" t="s">
        <v>98</v>
      </c>
      <c r="C1249" s="50">
        <v>540</v>
      </c>
      <c r="D1249" s="51" t="s">
        <v>72</v>
      </c>
    </row>
    <row r="1250" spans="2:4" x14ac:dyDescent="0.25">
      <c r="B1250" s="50" t="s">
        <v>98</v>
      </c>
      <c r="C1250" s="50">
        <v>520</v>
      </c>
      <c r="D1250" s="51" t="s">
        <v>73</v>
      </c>
    </row>
    <row r="1251" spans="2:4" x14ac:dyDescent="0.25">
      <c r="B1251" s="50" t="s">
        <v>98</v>
      </c>
      <c r="C1251" s="50">
        <v>347</v>
      </c>
      <c r="D1251" s="51" t="s">
        <v>73</v>
      </c>
    </row>
    <row r="1252" spans="2:4" x14ac:dyDescent="0.25">
      <c r="B1252" s="50" t="s">
        <v>98</v>
      </c>
      <c r="C1252" s="50">
        <v>484</v>
      </c>
      <c r="D1252" s="51" t="s">
        <v>73</v>
      </c>
    </row>
    <row r="1253" spans="2:4" x14ac:dyDescent="0.25">
      <c r="B1253" s="50" t="s">
        <v>98</v>
      </c>
      <c r="C1253" s="50">
        <v>539</v>
      </c>
      <c r="D1253" s="51" t="s">
        <v>73</v>
      </c>
    </row>
    <row r="1254" spans="2:4" x14ac:dyDescent="0.25">
      <c r="B1254" s="50" t="s">
        <v>98</v>
      </c>
      <c r="C1254" s="50">
        <v>505</v>
      </c>
      <c r="D1254" s="51" t="s">
        <v>73</v>
      </c>
    </row>
    <row r="1255" spans="2:4" x14ac:dyDescent="0.25">
      <c r="B1255" s="50" t="s">
        <v>99</v>
      </c>
      <c r="C1255" s="50">
        <v>400</v>
      </c>
      <c r="D1255" s="51" t="s">
        <v>67</v>
      </c>
    </row>
    <row r="1256" spans="2:4" x14ac:dyDescent="0.25">
      <c r="B1256" s="50" t="s">
        <v>99</v>
      </c>
      <c r="C1256" s="50">
        <v>420</v>
      </c>
      <c r="D1256" s="51" t="s">
        <v>68</v>
      </c>
    </row>
    <row r="1257" spans="2:4" x14ac:dyDescent="0.25">
      <c r="B1257" s="50" t="s">
        <v>99</v>
      </c>
      <c r="C1257" s="50">
        <v>362</v>
      </c>
      <c r="D1257" s="51" t="s">
        <v>68</v>
      </c>
    </row>
    <row r="1258" spans="2:4" x14ac:dyDescent="0.25">
      <c r="B1258" s="50" t="s">
        <v>99</v>
      </c>
      <c r="C1258" s="50">
        <v>399</v>
      </c>
      <c r="D1258" s="51" t="s">
        <v>68</v>
      </c>
    </row>
    <row r="1259" spans="2:4" x14ac:dyDescent="0.25">
      <c r="B1259" s="50" t="s">
        <v>99</v>
      </c>
      <c r="C1259" s="50">
        <v>469</v>
      </c>
      <c r="D1259" s="51" t="s">
        <v>68</v>
      </c>
    </row>
    <row r="1260" spans="2:4" x14ac:dyDescent="0.25">
      <c r="B1260" s="50" t="s">
        <v>99</v>
      </c>
      <c r="C1260" s="50">
        <v>306</v>
      </c>
      <c r="D1260" s="51" t="s">
        <v>68</v>
      </c>
    </row>
    <row r="1261" spans="2:4" x14ac:dyDescent="0.25">
      <c r="B1261" s="50" t="s">
        <v>99</v>
      </c>
      <c r="C1261" s="50">
        <v>442</v>
      </c>
      <c r="D1261" s="51" t="s">
        <v>69</v>
      </c>
    </row>
    <row r="1262" spans="2:4" x14ac:dyDescent="0.25">
      <c r="B1262" s="50" t="s">
        <v>99</v>
      </c>
      <c r="C1262" s="50">
        <v>445</v>
      </c>
      <c r="D1262" s="51" t="s">
        <v>69</v>
      </c>
    </row>
    <row r="1263" spans="2:4" x14ac:dyDescent="0.25">
      <c r="B1263" s="50" t="s">
        <v>99</v>
      </c>
      <c r="C1263" s="50">
        <v>418</v>
      </c>
      <c r="D1263" s="51" t="s">
        <v>69</v>
      </c>
    </row>
    <row r="1264" spans="2:4" x14ac:dyDescent="0.25">
      <c r="B1264" s="50" t="s">
        <v>99</v>
      </c>
      <c r="C1264" s="50">
        <v>440</v>
      </c>
      <c r="D1264" s="51" t="s">
        <v>69</v>
      </c>
    </row>
    <row r="1265" spans="2:4" x14ac:dyDescent="0.25">
      <c r="B1265" s="50" t="s">
        <v>99</v>
      </c>
      <c r="C1265" s="50">
        <v>545</v>
      </c>
      <c r="D1265" s="51" t="s">
        <v>69</v>
      </c>
    </row>
    <row r="1266" spans="2:4" x14ac:dyDescent="0.25">
      <c r="B1266" s="50" t="s">
        <v>99</v>
      </c>
      <c r="C1266" s="50">
        <v>365</v>
      </c>
      <c r="D1266" s="51" t="s">
        <v>69</v>
      </c>
    </row>
    <row r="1267" spans="2:4" x14ac:dyDescent="0.25">
      <c r="B1267" s="50" t="s">
        <v>99</v>
      </c>
      <c r="C1267" s="50">
        <v>506</v>
      </c>
      <c r="D1267" s="51" t="s">
        <v>70</v>
      </c>
    </row>
    <row r="1268" spans="2:4" x14ac:dyDescent="0.25">
      <c r="B1268" s="50" t="s">
        <v>99</v>
      </c>
      <c r="C1268" s="50">
        <v>444</v>
      </c>
      <c r="D1268" s="51" t="s">
        <v>70</v>
      </c>
    </row>
    <row r="1269" spans="2:4" x14ac:dyDescent="0.25">
      <c r="B1269" s="50" t="s">
        <v>99</v>
      </c>
      <c r="C1269" s="50">
        <v>471</v>
      </c>
      <c r="D1269" s="51" t="s">
        <v>70</v>
      </c>
    </row>
    <row r="1270" spans="2:4" x14ac:dyDescent="0.25">
      <c r="B1270" s="50" t="s">
        <v>99</v>
      </c>
      <c r="C1270" s="50">
        <v>301</v>
      </c>
      <c r="D1270" s="51" t="s">
        <v>70</v>
      </c>
    </row>
    <row r="1271" spans="2:4" x14ac:dyDescent="0.25">
      <c r="B1271" s="50" t="s">
        <v>99</v>
      </c>
      <c r="C1271" s="50">
        <v>527</v>
      </c>
      <c r="D1271" s="51" t="s">
        <v>70</v>
      </c>
    </row>
    <row r="1272" spans="2:4" x14ac:dyDescent="0.25">
      <c r="B1272" s="50" t="s">
        <v>99</v>
      </c>
      <c r="C1272" s="50">
        <v>390</v>
      </c>
      <c r="D1272" s="51" t="s">
        <v>70</v>
      </c>
    </row>
    <row r="1273" spans="2:4" x14ac:dyDescent="0.25">
      <c r="B1273" s="50" t="s">
        <v>99</v>
      </c>
      <c r="C1273" s="50">
        <v>376</v>
      </c>
      <c r="D1273" s="51" t="s">
        <v>70</v>
      </c>
    </row>
    <row r="1274" spans="2:4" x14ac:dyDescent="0.25">
      <c r="B1274" s="50" t="s">
        <v>99</v>
      </c>
      <c r="C1274" s="50">
        <v>500</v>
      </c>
      <c r="D1274" s="51" t="s">
        <v>70</v>
      </c>
    </row>
    <row r="1275" spans="2:4" x14ac:dyDescent="0.25">
      <c r="B1275" s="50" t="s">
        <v>99</v>
      </c>
      <c r="C1275" s="50">
        <v>482</v>
      </c>
      <c r="D1275" s="51" t="s">
        <v>70</v>
      </c>
    </row>
    <row r="1276" spans="2:4" x14ac:dyDescent="0.25">
      <c r="B1276" s="50" t="s">
        <v>99</v>
      </c>
      <c r="C1276" s="50">
        <v>509</v>
      </c>
      <c r="D1276" s="51" t="s">
        <v>70</v>
      </c>
    </row>
    <row r="1277" spans="2:4" x14ac:dyDescent="0.25">
      <c r="B1277" s="50" t="s">
        <v>99</v>
      </c>
      <c r="C1277" s="50">
        <v>450</v>
      </c>
      <c r="D1277" s="51" t="s">
        <v>70</v>
      </c>
    </row>
    <row r="1278" spans="2:4" x14ac:dyDescent="0.25">
      <c r="B1278" s="50" t="s">
        <v>99</v>
      </c>
      <c r="C1278" s="50">
        <v>515</v>
      </c>
      <c r="D1278" s="51" t="s">
        <v>70</v>
      </c>
    </row>
    <row r="1279" spans="2:4" x14ac:dyDescent="0.25">
      <c r="B1279" s="50" t="s">
        <v>99</v>
      </c>
      <c r="C1279" s="50">
        <v>333</v>
      </c>
      <c r="D1279" s="51" t="s">
        <v>70</v>
      </c>
    </row>
    <row r="1280" spans="2:4" x14ac:dyDescent="0.25">
      <c r="B1280" s="50" t="s">
        <v>99</v>
      </c>
      <c r="C1280" s="50">
        <v>448</v>
      </c>
      <c r="D1280" s="51" t="s">
        <v>70</v>
      </c>
    </row>
    <row r="1281" spans="2:4" x14ac:dyDescent="0.25">
      <c r="B1281" s="50" t="s">
        <v>99</v>
      </c>
      <c r="C1281" s="50">
        <v>517</v>
      </c>
      <c r="D1281" s="51" t="s">
        <v>70</v>
      </c>
    </row>
    <row r="1282" spans="2:4" x14ac:dyDescent="0.25">
      <c r="B1282" s="50" t="s">
        <v>99</v>
      </c>
      <c r="C1282" s="50">
        <v>323</v>
      </c>
      <c r="D1282" s="51" t="s">
        <v>70</v>
      </c>
    </row>
    <row r="1283" spans="2:4" x14ac:dyDescent="0.25">
      <c r="B1283" s="50" t="s">
        <v>99</v>
      </c>
      <c r="C1283" s="50">
        <v>503</v>
      </c>
      <c r="D1283" s="51" t="s">
        <v>70</v>
      </c>
    </row>
    <row r="1284" spans="2:4" x14ac:dyDescent="0.25">
      <c r="B1284" s="50" t="s">
        <v>99</v>
      </c>
      <c r="C1284" s="50">
        <v>403</v>
      </c>
      <c r="D1284" s="51" t="s">
        <v>70</v>
      </c>
    </row>
    <row r="1285" spans="2:4" x14ac:dyDescent="0.25">
      <c r="B1285" s="50" t="s">
        <v>99</v>
      </c>
      <c r="C1285" s="50">
        <v>361</v>
      </c>
      <c r="D1285" s="51" t="s">
        <v>70</v>
      </c>
    </row>
    <row r="1286" spans="2:4" x14ac:dyDescent="0.25">
      <c r="B1286" s="50" t="s">
        <v>99</v>
      </c>
      <c r="C1286" s="50">
        <v>385</v>
      </c>
      <c r="D1286" s="51" t="s">
        <v>70</v>
      </c>
    </row>
    <row r="1287" spans="2:4" x14ac:dyDescent="0.25">
      <c r="B1287" s="50" t="s">
        <v>99</v>
      </c>
      <c r="C1287" s="50">
        <v>508</v>
      </c>
      <c r="D1287" s="51" t="s">
        <v>70</v>
      </c>
    </row>
    <row r="1288" spans="2:4" x14ac:dyDescent="0.25">
      <c r="B1288" s="50" t="s">
        <v>99</v>
      </c>
      <c r="C1288" s="50">
        <v>521</v>
      </c>
      <c r="D1288" s="51" t="s">
        <v>70</v>
      </c>
    </row>
    <row r="1289" spans="2:4" x14ac:dyDescent="0.25">
      <c r="B1289" s="50" t="s">
        <v>99</v>
      </c>
      <c r="C1289" s="50">
        <v>455</v>
      </c>
      <c r="D1289" s="51" t="s">
        <v>70</v>
      </c>
    </row>
    <row r="1290" spans="2:4" x14ac:dyDescent="0.25">
      <c r="B1290" s="50" t="s">
        <v>99</v>
      </c>
      <c r="C1290" s="50">
        <v>415</v>
      </c>
      <c r="D1290" s="51" t="s">
        <v>70</v>
      </c>
    </row>
    <row r="1291" spans="2:4" x14ac:dyDescent="0.25">
      <c r="B1291" s="50" t="s">
        <v>99</v>
      </c>
      <c r="C1291" s="50">
        <v>513</v>
      </c>
      <c r="D1291" s="51" t="s">
        <v>70</v>
      </c>
    </row>
    <row r="1292" spans="2:4" x14ac:dyDescent="0.25">
      <c r="B1292" s="50" t="s">
        <v>99</v>
      </c>
      <c r="C1292" s="50">
        <v>314</v>
      </c>
      <c r="D1292" s="51" t="s">
        <v>70</v>
      </c>
    </row>
    <row r="1293" spans="2:4" x14ac:dyDescent="0.25">
      <c r="B1293" s="50" t="s">
        <v>99</v>
      </c>
      <c r="C1293" s="50">
        <v>546</v>
      </c>
      <c r="D1293" s="51" t="s">
        <v>70</v>
      </c>
    </row>
    <row r="1294" spans="2:4" x14ac:dyDescent="0.25">
      <c r="B1294" s="50" t="s">
        <v>99</v>
      </c>
      <c r="C1294" s="50">
        <v>373</v>
      </c>
      <c r="D1294" s="51" t="s">
        <v>70</v>
      </c>
    </row>
    <row r="1295" spans="2:4" x14ac:dyDescent="0.25">
      <c r="B1295" s="50" t="s">
        <v>99</v>
      </c>
      <c r="C1295" s="50">
        <v>472</v>
      </c>
      <c r="D1295" s="51" t="s">
        <v>70</v>
      </c>
    </row>
    <row r="1296" spans="2:4" x14ac:dyDescent="0.25">
      <c r="B1296" s="50" t="s">
        <v>99</v>
      </c>
      <c r="C1296" s="50">
        <v>463</v>
      </c>
      <c r="D1296" s="51" t="s">
        <v>70</v>
      </c>
    </row>
    <row r="1297" spans="2:4" x14ac:dyDescent="0.25">
      <c r="B1297" s="50" t="s">
        <v>99</v>
      </c>
      <c r="C1297" s="50">
        <v>423</v>
      </c>
      <c r="D1297" s="51" t="s">
        <v>70</v>
      </c>
    </row>
    <row r="1298" spans="2:4" x14ac:dyDescent="0.25">
      <c r="B1298" s="50" t="s">
        <v>99</v>
      </c>
      <c r="C1298" s="50">
        <v>377</v>
      </c>
      <c r="D1298" s="51" t="s">
        <v>70</v>
      </c>
    </row>
    <row r="1299" spans="2:4" x14ac:dyDescent="0.25">
      <c r="B1299" s="50" t="s">
        <v>99</v>
      </c>
      <c r="C1299" s="50">
        <v>468</v>
      </c>
      <c r="D1299" s="51" t="s">
        <v>70</v>
      </c>
    </row>
    <row r="1300" spans="2:4" x14ac:dyDescent="0.25">
      <c r="B1300" s="50" t="s">
        <v>99</v>
      </c>
      <c r="C1300" s="50">
        <v>510</v>
      </c>
      <c r="D1300" s="51" t="s">
        <v>70</v>
      </c>
    </row>
    <row r="1301" spans="2:4" x14ac:dyDescent="0.25">
      <c r="B1301" s="50" t="s">
        <v>99</v>
      </c>
      <c r="C1301" s="50">
        <v>495</v>
      </c>
      <c r="D1301" s="51" t="s">
        <v>70</v>
      </c>
    </row>
    <row r="1302" spans="2:4" x14ac:dyDescent="0.25">
      <c r="B1302" s="50" t="s">
        <v>99</v>
      </c>
      <c r="C1302" s="50">
        <v>519</v>
      </c>
      <c r="D1302" s="51" t="s">
        <v>70</v>
      </c>
    </row>
    <row r="1303" spans="2:4" x14ac:dyDescent="0.25">
      <c r="B1303" s="50" t="s">
        <v>99</v>
      </c>
      <c r="C1303" s="50">
        <v>533</v>
      </c>
      <c r="D1303" s="51" t="s">
        <v>70</v>
      </c>
    </row>
    <row r="1304" spans="2:4" x14ac:dyDescent="0.25">
      <c r="B1304" s="50" t="s">
        <v>99</v>
      </c>
      <c r="C1304" s="50">
        <v>499</v>
      </c>
      <c r="D1304" s="51" t="s">
        <v>70</v>
      </c>
    </row>
    <row r="1305" spans="2:4" x14ac:dyDescent="0.25">
      <c r="B1305" s="50" t="s">
        <v>99</v>
      </c>
      <c r="C1305" s="50">
        <v>424</v>
      </c>
      <c r="D1305" s="51" t="s">
        <v>70</v>
      </c>
    </row>
    <row r="1306" spans="2:4" x14ac:dyDescent="0.25">
      <c r="B1306" s="50" t="s">
        <v>99</v>
      </c>
      <c r="C1306" s="50">
        <v>326</v>
      </c>
      <c r="D1306" s="51" t="s">
        <v>70</v>
      </c>
    </row>
    <row r="1307" spans="2:4" x14ac:dyDescent="0.25">
      <c r="B1307" s="50" t="s">
        <v>99</v>
      </c>
      <c r="C1307" s="50">
        <v>494</v>
      </c>
      <c r="D1307" s="51" t="s">
        <v>70</v>
      </c>
    </row>
    <row r="1308" spans="2:4" x14ac:dyDescent="0.25">
      <c r="B1308" s="50" t="s">
        <v>99</v>
      </c>
      <c r="C1308" s="50">
        <v>417</v>
      </c>
      <c r="D1308" s="51" t="s">
        <v>70</v>
      </c>
    </row>
    <row r="1309" spans="2:4" x14ac:dyDescent="0.25">
      <c r="B1309" s="50" t="s">
        <v>99</v>
      </c>
      <c r="C1309" s="50">
        <v>454</v>
      </c>
      <c r="D1309" s="51" t="s">
        <v>70</v>
      </c>
    </row>
    <row r="1310" spans="2:4" x14ac:dyDescent="0.25">
      <c r="B1310" s="50" t="s">
        <v>99</v>
      </c>
      <c r="C1310" s="50">
        <v>392</v>
      </c>
      <c r="D1310" s="51" t="s">
        <v>70</v>
      </c>
    </row>
    <row r="1311" spans="2:4" x14ac:dyDescent="0.25">
      <c r="B1311" s="50" t="s">
        <v>99</v>
      </c>
      <c r="C1311" s="50">
        <v>478</v>
      </c>
      <c r="D1311" s="51" t="s">
        <v>70</v>
      </c>
    </row>
    <row r="1312" spans="2:4" x14ac:dyDescent="0.25">
      <c r="B1312" s="50" t="s">
        <v>99</v>
      </c>
      <c r="C1312" s="50">
        <v>479</v>
      </c>
      <c r="D1312" s="51" t="s">
        <v>71</v>
      </c>
    </row>
    <row r="1313" spans="2:4" x14ac:dyDescent="0.25">
      <c r="B1313" s="50" t="s">
        <v>99</v>
      </c>
      <c r="C1313" s="50">
        <v>474</v>
      </c>
      <c r="D1313" s="51" t="s">
        <v>71</v>
      </c>
    </row>
    <row r="1314" spans="2:4" x14ac:dyDescent="0.25">
      <c r="B1314" s="50" t="s">
        <v>99</v>
      </c>
      <c r="C1314" s="50">
        <v>523</v>
      </c>
      <c r="D1314" s="51" t="s">
        <v>71</v>
      </c>
    </row>
    <row r="1315" spans="2:4" x14ac:dyDescent="0.25">
      <c r="B1315" s="50" t="s">
        <v>99</v>
      </c>
      <c r="C1315" s="50">
        <v>496</v>
      </c>
      <c r="D1315" s="51" t="s">
        <v>71</v>
      </c>
    </row>
    <row r="1316" spans="2:4" x14ac:dyDescent="0.25">
      <c r="B1316" s="50" t="s">
        <v>99</v>
      </c>
      <c r="C1316" s="50">
        <v>201</v>
      </c>
      <c r="D1316" s="51" t="s">
        <v>71</v>
      </c>
    </row>
    <row r="1317" spans="2:4" x14ac:dyDescent="0.25">
      <c r="B1317" s="50" t="s">
        <v>99</v>
      </c>
      <c r="C1317" s="50">
        <v>416</v>
      </c>
      <c r="D1317" s="51" t="s">
        <v>71</v>
      </c>
    </row>
    <row r="1318" spans="2:4" x14ac:dyDescent="0.25">
      <c r="B1318" s="50" t="s">
        <v>99</v>
      </c>
      <c r="C1318" s="50">
        <v>543</v>
      </c>
      <c r="D1318" s="51" t="s">
        <v>71</v>
      </c>
    </row>
    <row r="1319" spans="2:4" x14ac:dyDescent="0.25">
      <c r="B1319" s="50" t="s">
        <v>99</v>
      </c>
      <c r="C1319" s="50">
        <v>528</v>
      </c>
      <c r="D1319" s="51" t="s">
        <v>71</v>
      </c>
    </row>
    <row r="1320" spans="2:4" x14ac:dyDescent="0.25">
      <c r="B1320" s="50" t="s">
        <v>99</v>
      </c>
      <c r="C1320" s="50">
        <v>514</v>
      </c>
      <c r="D1320" s="51" t="s">
        <v>71</v>
      </c>
    </row>
    <row r="1321" spans="2:4" x14ac:dyDescent="0.25">
      <c r="B1321" s="50" t="s">
        <v>99</v>
      </c>
      <c r="C1321" s="50">
        <v>402</v>
      </c>
      <c r="D1321" s="51" t="s">
        <v>71</v>
      </c>
    </row>
    <row r="1322" spans="2:4" x14ac:dyDescent="0.25">
      <c r="B1322" s="50" t="s">
        <v>99</v>
      </c>
      <c r="C1322" s="50">
        <v>447</v>
      </c>
      <c r="D1322" s="51" t="s">
        <v>71</v>
      </c>
    </row>
    <row r="1323" spans="2:4" x14ac:dyDescent="0.25">
      <c r="B1323" s="50" t="s">
        <v>99</v>
      </c>
      <c r="C1323" s="50">
        <v>322</v>
      </c>
      <c r="D1323" s="51" t="s">
        <v>71</v>
      </c>
    </row>
    <row r="1324" spans="2:4" x14ac:dyDescent="0.25">
      <c r="B1324" s="50" t="s">
        <v>99</v>
      </c>
      <c r="C1324" s="50">
        <v>532</v>
      </c>
      <c r="D1324" s="51" t="s">
        <v>71</v>
      </c>
    </row>
    <row r="1325" spans="2:4" x14ac:dyDescent="0.25">
      <c r="B1325" s="50" t="s">
        <v>99</v>
      </c>
      <c r="C1325" s="50">
        <v>522</v>
      </c>
      <c r="D1325" s="51" t="s">
        <v>71</v>
      </c>
    </row>
    <row r="1326" spans="2:4" x14ac:dyDescent="0.25">
      <c r="B1326" s="50" t="s">
        <v>99</v>
      </c>
      <c r="C1326" s="50">
        <v>433</v>
      </c>
      <c r="D1326" s="51" t="s">
        <v>71</v>
      </c>
    </row>
    <row r="1327" spans="2:4" x14ac:dyDescent="0.25">
      <c r="B1327" s="50" t="s">
        <v>99</v>
      </c>
      <c r="C1327" s="50">
        <v>511</v>
      </c>
      <c r="D1327" s="51" t="s">
        <v>71</v>
      </c>
    </row>
    <row r="1328" spans="2:4" x14ac:dyDescent="0.25">
      <c r="B1328" s="50" t="s">
        <v>99</v>
      </c>
      <c r="C1328" s="50">
        <v>332</v>
      </c>
      <c r="D1328" s="51" t="s">
        <v>71</v>
      </c>
    </row>
    <row r="1329" spans="2:4" x14ac:dyDescent="0.25">
      <c r="B1329" s="50" t="s">
        <v>99</v>
      </c>
      <c r="C1329" s="50">
        <v>328</v>
      </c>
      <c r="D1329" s="51" t="s">
        <v>71</v>
      </c>
    </row>
    <row r="1330" spans="2:4" x14ac:dyDescent="0.25">
      <c r="B1330" s="50" t="s">
        <v>99</v>
      </c>
      <c r="C1330" s="50">
        <v>313</v>
      </c>
      <c r="D1330" s="51" t="s">
        <v>71</v>
      </c>
    </row>
    <row r="1331" spans="2:4" x14ac:dyDescent="0.25">
      <c r="B1331" s="50" t="s">
        <v>99</v>
      </c>
      <c r="C1331" s="50">
        <v>438</v>
      </c>
      <c r="D1331" s="51" t="s">
        <v>71</v>
      </c>
    </row>
    <row r="1332" spans="2:4" x14ac:dyDescent="0.25">
      <c r="B1332" s="50" t="s">
        <v>99</v>
      </c>
      <c r="C1332" s="50">
        <v>464</v>
      </c>
      <c r="D1332" s="51" t="s">
        <v>71</v>
      </c>
    </row>
    <row r="1333" spans="2:4" x14ac:dyDescent="0.25">
      <c r="B1333" s="50" t="s">
        <v>99</v>
      </c>
      <c r="C1333" s="50">
        <v>489</v>
      </c>
      <c r="D1333" s="51" t="s">
        <v>71</v>
      </c>
    </row>
    <row r="1334" spans="2:4" x14ac:dyDescent="0.25">
      <c r="B1334" s="50" t="s">
        <v>99</v>
      </c>
      <c r="C1334" s="50">
        <v>490</v>
      </c>
      <c r="D1334" s="51" t="s">
        <v>71</v>
      </c>
    </row>
    <row r="1335" spans="2:4" x14ac:dyDescent="0.25">
      <c r="B1335" s="50" t="s">
        <v>99</v>
      </c>
      <c r="C1335" s="50">
        <v>421</v>
      </c>
      <c r="D1335" s="51" t="s">
        <v>71</v>
      </c>
    </row>
    <row r="1336" spans="2:4" x14ac:dyDescent="0.25">
      <c r="B1336" s="50" t="s">
        <v>99</v>
      </c>
      <c r="C1336" s="50">
        <v>477</v>
      </c>
      <c r="D1336" s="51" t="s">
        <v>71</v>
      </c>
    </row>
    <row r="1337" spans="2:4" x14ac:dyDescent="0.25">
      <c r="B1337" s="50" t="s">
        <v>99</v>
      </c>
      <c r="C1337" s="50">
        <v>393</v>
      </c>
      <c r="D1337" s="51" t="s">
        <v>71</v>
      </c>
    </row>
    <row r="1338" spans="2:4" x14ac:dyDescent="0.25">
      <c r="B1338" s="50" t="s">
        <v>99</v>
      </c>
      <c r="C1338" s="50">
        <v>413</v>
      </c>
      <c r="D1338" s="51" t="s">
        <v>71</v>
      </c>
    </row>
    <row r="1339" spans="2:4" x14ac:dyDescent="0.25">
      <c r="B1339" s="50" t="s">
        <v>99</v>
      </c>
      <c r="C1339" s="50">
        <v>304</v>
      </c>
      <c r="D1339" s="51" t="s">
        <v>71</v>
      </c>
    </row>
    <row r="1340" spans="2:4" x14ac:dyDescent="0.25">
      <c r="B1340" s="50" t="s">
        <v>99</v>
      </c>
      <c r="C1340" s="50">
        <v>335</v>
      </c>
      <c r="D1340" s="51" t="s">
        <v>71</v>
      </c>
    </row>
    <row r="1341" spans="2:4" x14ac:dyDescent="0.25">
      <c r="B1341" s="50" t="s">
        <v>99</v>
      </c>
      <c r="C1341" s="50">
        <v>504</v>
      </c>
      <c r="D1341" s="51" t="s">
        <v>71</v>
      </c>
    </row>
    <row r="1342" spans="2:4" x14ac:dyDescent="0.25">
      <c r="B1342" s="50" t="s">
        <v>99</v>
      </c>
      <c r="C1342" s="50">
        <v>487</v>
      </c>
      <c r="D1342" s="51" t="s">
        <v>71</v>
      </c>
    </row>
    <row r="1343" spans="2:4" x14ac:dyDescent="0.25">
      <c r="B1343" s="50" t="s">
        <v>99</v>
      </c>
      <c r="C1343" s="50">
        <v>432</v>
      </c>
      <c r="D1343" s="51" t="s">
        <v>71</v>
      </c>
    </row>
    <row r="1344" spans="2:4" x14ac:dyDescent="0.25">
      <c r="B1344" s="50" t="s">
        <v>99</v>
      </c>
      <c r="C1344" s="50">
        <v>397</v>
      </c>
      <c r="D1344" s="51" t="s">
        <v>71</v>
      </c>
    </row>
    <row r="1345" spans="2:4" x14ac:dyDescent="0.25">
      <c r="B1345" s="50" t="s">
        <v>99</v>
      </c>
      <c r="C1345" s="50">
        <v>331</v>
      </c>
      <c r="D1345" s="51" t="s">
        <v>71</v>
      </c>
    </row>
    <row r="1346" spans="2:4" x14ac:dyDescent="0.25">
      <c r="B1346" s="50" t="s">
        <v>99</v>
      </c>
      <c r="C1346" s="50">
        <v>319</v>
      </c>
      <c r="D1346" s="51" t="s">
        <v>71</v>
      </c>
    </row>
    <row r="1347" spans="2:4" x14ac:dyDescent="0.25">
      <c r="B1347" s="50" t="s">
        <v>99</v>
      </c>
      <c r="C1347" s="50">
        <v>308</v>
      </c>
      <c r="D1347" s="51" t="s">
        <v>71</v>
      </c>
    </row>
    <row r="1348" spans="2:4" x14ac:dyDescent="0.25">
      <c r="B1348" s="50" t="s">
        <v>99</v>
      </c>
      <c r="C1348" s="50">
        <v>436</v>
      </c>
      <c r="D1348" s="51" t="s">
        <v>71</v>
      </c>
    </row>
    <row r="1349" spans="2:4" x14ac:dyDescent="0.25">
      <c r="B1349" s="50" t="s">
        <v>99</v>
      </c>
      <c r="C1349" s="50">
        <v>356</v>
      </c>
      <c r="D1349" s="51" t="s">
        <v>71</v>
      </c>
    </row>
    <row r="1350" spans="2:4" x14ac:dyDescent="0.25">
      <c r="B1350" s="50" t="s">
        <v>99</v>
      </c>
      <c r="C1350" s="50">
        <v>334</v>
      </c>
      <c r="D1350" s="51" t="s">
        <v>71</v>
      </c>
    </row>
    <row r="1351" spans="2:4" x14ac:dyDescent="0.25">
      <c r="B1351" s="50" t="s">
        <v>99</v>
      </c>
      <c r="C1351" s="50">
        <v>321</v>
      </c>
      <c r="D1351" s="51" t="s">
        <v>71</v>
      </c>
    </row>
    <row r="1352" spans="2:4" x14ac:dyDescent="0.25">
      <c r="B1352" s="50" t="s">
        <v>99</v>
      </c>
      <c r="C1352" s="50">
        <v>429</v>
      </c>
      <c r="D1352" s="51" t="s">
        <v>71</v>
      </c>
    </row>
    <row r="1353" spans="2:4" x14ac:dyDescent="0.25">
      <c r="B1353" s="50" t="s">
        <v>99</v>
      </c>
      <c r="C1353" s="50">
        <v>544</v>
      </c>
      <c r="D1353" s="51" t="s">
        <v>71</v>
      </c>
    </row>
    <row r="1354" spans="2:4" x14ac:dyDescent="0.25">
      <c r="B1354" s="50" t="s">
        <v>99</v>
      </c>
      <c r="C1354" s="50">
        <v>462</v>
      </c>
      <c r="D1354" s="51" t="s">
        <v>71</v>
      </c>
    </row>
    <row r="1355" spans="2:4" x14ac:dyDescent="0.25">
      <c r="B1355" s="50" t="s">
        <v>99</v>
      </c>
      <c r="C1355" s="50">
        <v>488</v>
      </c>
      <c r="D1355" s="51" t="s">
        <v>71</v>
      </c>
    </row>
    <row r="1356" spans="2:4" x14ac:dyDescent="0.25">
      <c r="B1356" s="50" t="s">
        <v>99</v>
      </c>
      <c r="C1356" s="50">
        <v>467</v>
      </c>
      <c r="D1356" s="51" t="s">
        <v>71</v>
      </c>
    </row>
    <row r="1357" spans="2:4" x14ac:dyDescent="0.25">
      <c r="B1357" s="50" t="s">
        <v>99</v>
      </c>
      <c r="C1357" s="50">
        <v>305</v>
      </c>
      <c r="D1357" s="51" t="s">
        <v>71</v>
      </c>
    </row>
    <row r="1358" spans="2:4" x14ac:dyDescent="0.25">
      <c r="B1358" s="50" t="s">
        <v>99</v>
      </c>
      <c r="C1358" s="50">
        <v>529</v>
      </c>
      <c r="D1358" s="51" t="s">
        <v>71</v>
      </c>
    </row>
    <row r="1359" spans="2:4" x14ac:dyDescent="0.25">
      <c r="B1359" s="50" t="s">
        <v>99</v>
      </c>
      <c r="C1359" s="50">
        <v>518</v>
      </c>
      <c r="D1359" s="51" t="s">
        <v>71</v>
      </c>
    </row>
    <row r="1360" spans="2:4" x14ac:dyDescent="0.25">
      <c r="B1360" s="50" t="s">
        <v>99</v>
      </c>
      <c r="C1360" s="50">
        <v>531</v>
      </c>
      <c r="D1360" s="51" t="s">
        <v>71</v>
      </c>
    </row>
    <row r="1361" spans="2:4" x14ac:dyDescent="0.25">
      <c r="B1361" s="50" t="s">
        <v>99</v>
      </c>
      <c r="C1361" s="50">
        <v>317</v>
      </c>
      <c r="D1361" s="51" t="s">
        <v>71</v>
      </c>
    </row>
    <row r="1362" spans="2:4" x14ac:dyDescent="0.25">
      <c r="B1362" s="50" t="s">
        <v>99</v>
      </c>
      <c r="C1362" s="50">
        <v>452</v>
      </c>
      <c r="D1362" s="51" t="s">
        <v>71</v>
      </c>
    </row>
    <row r="1363" spans="2:4" x14ac:dyDescent="0.25">
      <c r="B1363" s="50" t="s">
        <v>99</v>
      </c>
      <c r="C1363" s="50">
        <v>422</v>
      </c>
      <c r="D1363" s="51" t="s">
        <v>71</v>
      </c>
    </row>
    <row r="1364" spans="2:4" x14ac:dyDescent="0.25">
      <c r="B1364" s="50" t="s">
        <v>99</v>
      </c>
      <c r="C1364" s="50">
        <v>407</v>
      </c>
      <c r="D1364" s="51" t="s">
        <v>71</v>
      </c>
    </row>
    <row r="1365" spans="2:4" x14ac:dyDescent="0.25">
      <c r="B1365" s="50" t="s">
        <v>99</v>
      </c>
      <c r="C1365" s="50">
        <v>481</v>
      </c>
      <c r="D1365" s="51" t="s">
        <v>71</v>
      </c>
    </row>
    <row r="1366" spans="2:4" x14ac:dyDescent="0.25">
      <c r="B1366" s="50" t="s">
        <v>99</v>
      </c>
      <c r="C1366" s="50">
        <v>492</v>
      </c>
      <c r="D1366" s="51" t="s">
        <v>71</v>
      </c>
    </row>
    <row r="1367" spans="2:4" x14ac:dyDescent="0.25">
      <c r="B1367" s="50" t="s">
        <v>99</v>
      </c>
      <c r="C1367" s="50">
        <v>505</v>
      </c>
      <c r="D1367" s="51" t="s">
        <v>71</v>
      </c>
    </row>
    <row r="1368" spans="2:4" x14ac:dyDescent="0.25">
      <c r="B1368" s="50" t="s">
        <v>99</v>
      </c>
      <c r="C1368" s="50">
        <v>516</v>
      </c>
      <c r="D1368" s="51" t="s">
        <v>71</v>
      </c>
    </row>
    <row r="1369" spans="2:4" x14ac:dyDescent="0.25">
      <c r="B1369" s="50" t="s">
        <v>99</v>
      </c>
      <c r="C1369" s="50">
        <v>358</v>
      </c>
      <c r="D1369" s="51" t="s">
        <v>72</v>
      </c>
    </row>
    <row r="1370" spans="2:4" x14ac:dyDescent="0.25">
      <c r="B1370" s="50" t="s">
        <v>99</v>
      </c>
      <c r="C1370" s="50">
        <v>493</v>
      </c>
      <c r="D1370" s="51" t="s">
        <v>72</v>
      </c>
    </row>
    <row r="1371" spans="2:4" x14ac:dyDescent="0.25">
      <c r="B1371" s="50" t="s">
        <v>99</v>
      </c>
      <c r="C1371" s="50">
        <v>406</v>
      </c>
      <c r="D1371" s="51" t="s">
        <v>72</v>
      </c>
    </row>
    <row r="1372" spans="2:4" x14ac:dyDescent="0.25">
      <c r="B1372" s="50" t="s">
        <v>99</v>
      </c>
      <c r="C1372" s="50">
        <v>405</v>
      </c>
      <c r="D1372" s="51" t="s">
        <v>72</v>
      </c>
    </row>
    <row r="1373" spans="2:4" x14ac:dyDescent="0.25">
      <c r="B1373" s="50" t="s">
        <v>99</v>
      </c>
      <c r="C1373" s="50">
        <v>538</v>
      </c>
      <c r="D1373" s="51" t="s">
        <v>72</v>
      </c>
    </row>
    <row r="1374" spans="2:4" x14ac:dyDescent="0.25">
      <c r="B1374" s="50" t="s">
        <v>99</v>
      </c>
      <c r="C1374" s="50">
        <v>465</v>
      </c>
      <c r="D1374" s="51" t="s">
        <v>72</v>
      </c>
    </row>
    <row r="1375" spans="2:4" x14ac:dyDescent="0.25">
      <c r="B1375" s="50" t="s">
        <v>99</v>
      </c>
      <c r="C1375" s="50">
        <v>540</v>
      </c>
      <c r="D1375" s="51" t="s">
        <v>72</v>
      </c>
    </row>
    <row r="1376" spans="2:4" x14ac:dyDescent="0.25">
      <c r="B1376" s="50" t="s">
        <v>99</v>
      </c>
      <c r="C1376" s="50">
        <v>501</v>
      </c>
      <c r="D1376" s="51" t="s">
        <v>72</v>
      </c>
    </row>
    <row r="1377" spans="2:4" x14ac:dyDescent="0.25">
      <c r="B1377" s="50" t="s">
        <v>99</v>
      </c>
      <c r="C1377" s="50">
        <v>526</v>
      </c>
      <c r="D1377" s="51" t="s">
        <v>72</v>
      </c>
    </row>
    <row r="1378" spans="2:4" x14ac:dyDescent="0.25">
      <c r="B1378" s="50" t="s">
        <v>99</v>
      </c>
      <c r="C1378" s="50">
        <v>370</v>
      </c>
      <c r="D1378" s="51" t="s">
        <v>72</v>
      </c>
    </row>
    <row r="1379" spans="2:4" x14ac:dyDescent="0.25">
      <c r="B1379" s="50" t="s">
        <v>99</v>
      </c>
      <c r="C1379" s="50">
        <v>537</v>
      </c>
      <c r="D1379" s="51" t="s">
        <v>72</v>
      </c>
    </row>
    <row r="1380" spans="2:4" x14ac:dyDescent="0.25">
      <c r="B1380" s="50" t="s">
        <v>99</v>
      </c>
      <c r="C1380" s="50">
        <v>347</v>
      </c>
      <c r="D1380" s="51" t="s">
        <v>72</v>
      </c>
    </row>
    <row r="1381" spans="2:4" x14ac:dyDescent="0.25">
      <c r="B1381" s="50" t="s">
        <v>99</v>
      </c>
      <c r="C1381" s="50">
        <v>497</v>
      </c>
      <c r="D1381" s="51" t="s">
        <v>72</v>
      </c>
    </row>
    <row r="1382" spans="2:4" x14ac:dyDescent="0.25">
      <c r="B1382" s="50" t="s">
        <v>99</v>
      </c>
      <c r="C1382" s="50">
        <v>536</v>
      </c>
      <c r="D1382" s="51" t="s">
        <v>72</v>
      </c>
    </row>
    <row r="1383" spans="2:4" x14ac:dyDescent="0.25">
      <c r="B1383" s="50" t="s">
        <v>99</v>
      </c>
      <c r="C1383" s="50">
        <v>456</v>
      </c>
      <c r="D1383" s="51" t="s">
        <v>72</v>
      </c>
    </row>
    <row r="1384" spans="2:4" x14ac:dyDescent="0.25">
      <c r="B1384" s="50" t="s">
        <v>99</v>
      </c>
      <c r="C1384" s="50">
        <v>507</v>
      </c>
      <c r="D1384" s="51" t="s">
        <v>72</v>
      </c>
    </row>
    <row r="1385" spans="2:4" x14ac:dyDescent="0.25">
      <c r="B1385" s="50" t="s">
        <v>99</v>
      </c>
      <c r="C1385" s="50">
        <v>541</v>
      </c>
      <c r="D1385" s="51" t="s">
        <v>72</v>
      </c>
    </row>
    <row r="1386" spans="2:4" x14ac:dyDescent="0.25">
      <c r="B1386" s="50" t="s">
        <v>99</v>
      </c>
      <c r="C1386" s="50">
        <v>451</v>
      </c>
      <c r="D1386" s="51" t="s">
        <v>72</v>
      </c>
    </row>
    <row r="1387" spans="2:4" x14ac:dyDescent="0.25">
      <c r="B1387" s="50" t="s">
        <v>99</v>
      </c>
      <c r="C1387" s="50">
        <v>491</v>
      </c>
      <c r="D1387" s="51" t="s">
        <v>72</v>
      </c>
    </row>
    <row r="1388" spans="2:4" x14ac:dyDescent="0.25">
      <c r="B1388" s="50" t="s">
        <v>99</v>
      </c>
      <c r="C1388" s="50">
        <v>428</v>
      </c>
      <c r="D1388" s="51" t="s">
        <v>72</v>
      </c>
    </row>
    <row r="1389" spans="2:4" x14ac:dyDescent="0.25">
      <c r="B1389" s="50" t="s">
        <v>99</v>
      </c>
      <c r="C1389" s="50">
        <v>475</v>
      </c>
      <c r="D1389" s="51" t="s">
        <v>73</v>
      </c>
    </row>
    <row r="1390" spans="2:4" x14ac:dyDescent="0.25">
      <c r="B1390" s="50" t="s">
        <v>99</v>
      </c>
      <c r="C1390" s="50">
        <v>520</v>
      </c>
      <c r="D1390" s="51" t="s">
        <v>73</v>
      </c>
    </row>
    <row r="1391" spans="2:4" x14ac:dyDescent="0.25">
      <c r="B1391" s="50" t="s">
        <v>99</v>
      </c>
      <c r="C1391" s="50">
        <v>502</v>
      </c>
      <c r="D1391" s="51" t="s">
        <v>73</v>
      </c>
    </row>
    <row r="1392" spans="2:4" x14ac:dyDescent="0.25">
      <c r="B1392" s="50" t="s">
        <v>99</v>
      </c>
      <c r="C1392" s="50">
        <v>484</v>
      </c>
      <c r="D1392" s="51" t="s">
        <v>73</v>
      </c>
    </row>
    <row r="1393" spans="2:4" x14ac:dyDescent="0.25">
      <c r="B1393" s="50" t="s">
        <v>99</v>
      </c>
      <c r="C1393" s="50">
        <v>539</v>
      </c>
      <c r="D1393" s="51" t="s">
        <v>73</v>
      </c>
    </row>
    <row r="1394" spans="2:4" x14ac:dyDescent="0.25">
      <c r="B1394" s="50" t="s">
        <v>100</v>
      </c>
      <c r="C1394" s="50">
        <v>399</v>
      </c>
      <c r="D1394" s="51" t="s">
        <v>67</v>
      </c>
    </row>
    <row r="1395" spans="2:4" x14ac:dyDescent="0.25">
      <c r="B1395" s="50" t="s">
        <v>100</v>
      </c>
      <c r="C1395" s="50">
        <v>400</v>
      </c>
      <c r="D1395" s="51" t="s">
        <v>68</v>
      </c>
    </row>
    <row r="1396" spans="2:4" x14ac:dyDescent="0.25">
      <c r="B1396" s="50" t="s">
        <v>100</v>
      </c>
      <c r="C1396" s="50">
        <v>420</v>
      </c>
      <c r="D1396" s="51" t="s">
        <v>68</v>
      </c>
    </row>
    <row r="1397" spans="2:4" x14ac:dyDescent="0.25">
      <c r="B1397" s="50" t="s">
        <v>100</v>
      </c>
      <c r="C1397" s="50">
        <v>362</v>
      </c>
      <c r="D1397" s="51" t="s">
        <v>68</v>
      </c>
    </row>
    <row r="1398" spans="2:4" x14ac:dyDescent="0.25">
      <c r="B1398" s="50" t="s">
        <v>100</v>
      </c>
      <c r="C1398" s="50">
        <v>306</v>
      </c>
      <c r="D1398" s="51" t="s">
        <v>68</v>
      </c>
    </row>
    <row r="1399" spans="2:4" x14ac:dyDescent="0.25">
      <c r="B1399" s="50" t="s">
        <v>100</v>
      </c>
      <c r="C1399" s="50">
        <v>469</v>
      </c>
      <c r="D1399" s="51" t="s">
        <v>68</v>
      </c>
    </row>
    <row r="1400" spans="2:4" x14ac:dyDescent="0.25">
      <c r="B1400" s="50" t="s">
        <v>100</v>
      </c>
      <c r="C1400" s="50">
        <v>442</v>
      </c>
      <c r="D1400" s="51" t="s">
        <v>69</v>
      </c>
    </row>
    <row r="1401" spans="2:4" x14ac:dyDescent="0.25">
      <c r="B1401" s="50" t="s">
        <v>100</v>
      </c>
      <c r="C1401" s="50">
        <v>482</v>
      </c>
      <c r="D1401" s="51" t="s">
        <v>69</v>
      </c>
    </row>
    <row r="1402" spans="2:4" x14ac:dyDescent="0.25">
      <c r="B1402" s="50" t="s">
        <v>100</v>
      </c>
      <c r="C1402" s="50">
        <v>500</v>
      </c>
      <c r="D1402" s="51" t="s">
        <v>69</v>
      </c>
    </row>
    <row r="1403" spans="2:4" x14ac:dyDescent="0.25">
      <c r="B1403" s="50" t="s">
        <v>100</v>
      </c>
      <c r="C1403" s="50">
        <v>301</v>
      </c>
      <c r="D1403" s="51" t="s">
        <v>69</v>
      </c>
    </row>
    <row r="1404" spans="2:4" x14ac:dyDescent="0.25">
      <c r="B1404" s="50" t="s">
        <v>100</v>
      </c>
      <c r="C1404" s="50">
        <v>418</v>
      </c>
      <c r="D1404" s="51" t="s">
        <v>69</v>
      </c>
    </row>
    <row r="1405" spans="2:4" x14ac:dyDescent="0.25">
      <c r="B1405" s="50" t="s">
        <v>100</v>
      </c>
      <c r="C1405" s="50">
        <v>440</v>
      </c>
      <c r="D1405" s="51" t="s">
        <v>69</v>
      </c>
    </row>
    <row r="1406" spans="2:4" x14ac:dyDescent="0.25">
      <c r="B1406" s="50" t="s">
        <v>100</v>
      </c>
      <c r="C1406" s="50">
        <v>545</v>
      </c>
      <c r="D1406" s="51" t="s">
        <v>70</v>
      </c>
    </row>
    <row r="1407" spans="2:4" x14ac:dyDescent="0.25">
      <c r="B1407" s="50" t="s">
        <v>100</v>
      </c>
      <c r="C1407" s="50">
        <v>471</v>
      </c>
      <c r="D1407" s="51" t="s">
        <v>70</v>
      </c>
    </row>
    <row r="1408" spans="2:4" x14ac:dyDescent="0.25">
      <c r="B1408" s="50" t="s">
        <v>100</v>
      </c>
      <c r="C1408" s="50">
        <v>444</v>
      </c>
      <c r="D1408" s="51" t="s">
        <v>70</v>
      </c>
    </row>
    <row r="1409" spans="2:4" x14ac:dyDescent="0.25">
      <c r="B1409" s="50" t="s">
        <v>100</v>
      </c>
      <c r="C1409" s="50">
        <v>365</v>
      </c>
      <c r="D1409" s="51" t="s">
        <v>70</v>
      </c>
    </row>
    <row r="1410" spans="2:4" x14ac:dyDescent="0.25">
      <c r="B1410" s="50" t="s">
        <v>100</v>
      </c>
      <c r="C1410" s="50">
        <v>506</v>
      </c>
      <c r="D1410" s="51" t="s">
        <v>70</v>
      </c>
    </row>
    <row r="1411" spans="2:4" x14ac:dyDescent="0.25">
      <c r="B1411" s="50" t="s">
        <v>100</v>
      </c>
      <c r="C1411" s="50">
        <v>527</v>
      </c>
      <c r="D1411" s="51" t="s">
        <v>70</v>
      </c>
    </row>
    <row r="1412" spans="2:4" x14ac:dyDescent="0.25">
      <c r="B1412" s="50" t="s">
        <v>100</v>
      </c>
      <c r="C1412" s="50">
        <v>445</v>
      </c>
      <c r="D1412" s="51" t="s">
        <v>70</v>
      </c>
    </row>
    <row r="1413" spans="2:4" x14ac:dyDescent="0.25">
      <c r="B1413" s="50" t="s">
        <v>100</v>
      </c>
      <c r="C1413" s="50">
        <v>515</v>
      </c>
      <c r="D1413" s="51" t="s">
        <v>70</v>
      </c>
    </row>
    <row r="1414" spans="2:4" x14ac:dyDescent="0.25">
      <c r="B1414" s="50" t="s">
        <v>100</v>
      </c>
      <c r="C1414" s="50">
        <v>517</v>
      </c>
      <c r="D1414" s="51" t="s">
        <v>70</v>
      </c>
    </row>
    <row r="1415" spans="2:4" x14ac:dyDescent="0.25">
      <c r="B1415" s="50" t="s">
        <v>100</v>
      </c>
      <c r="C1415" s="50">
        <v>376</v>
      </c>
      <c r="D1415" s="51" t="s">
        <v>70</v>
      </c>
    </row>
    <row r="1416" spans="2:4" x14ac:dyDescent="0.25">
      <c r="B1416" s="50" t="s">
        <v>100</v>
      </c>
      <c r="C1416" s="50">
        <v>373</v>
      </c>
      <c r="D1416" s="51" t="s">
        <v>70</v>
      </c>
    </row>
    <row r="1417" spans="2:4" x14ac:dyDescent="0.25">
      <c r="B1417" s="50" t="s">
        <v>100</v>
      </c>
      <c r="C1417" s="50">
        <v>521</v>
      </c>
      <c r="D1417" s="51" t="s">
        <v>70</v>
      </c>
    </row>
    <row r="1418" spans="2:4" x14ac:dyDescent="0.25">
      <c r="B1418" s="50" t="s">
        <v>100</v>
      </c>
      <c r="C1418" s="50">
        <v>448</v>
      </c>
      <c r="D1418" s="51" t="s">
        <v>70</v>
      </c>
    </row>
    <row r="1419" spans="2:4" x14ac:dyDescent="0.25">
      <c r="B1419" s="50" t="s">
        <v>100</v>
      </c>
      <c r="C1419" s="50">
        <v>496</v>
      </c>
      <c r="D1419" s="51" t="s">
        <v>70</v>
      </c>
    </row>
    <row r="1420" spans="2:4" x14ac:dyDescent="0.25">
      <c r="B1420" s="50" t="s">
        <v>100</v>
      </c>
      <c r="C1420" s="50">
        <v>508</v>
      </c>
      <c r="D1420" s="51" t="s">
        <v>70</v>
      </c>
    </row>
    <row r="1421" spans="2:4" x14ac:dyDescent="0.25">
      <c r="B1421" s="50" t="s">
        <v>100</v>
      </c>
      <c r="C1421" s="50">
        <v>499</v>
      </c>
      <c r="D1421" s="51" t="s">
        <v>70</v>
      </c>
    </row>
    <row r="1422" spans="2:4" x14ac:dyDescent="0.25">
      <c r="B1422" s="50" t="s">
        <v>100</v>
      </c>
      <c r="C1422" s="50">
        <v>390</v>
      </c>
      <c r="D1422" s="51" t="s">
        <v>70</v>
      </c>
    </row>
    <row r="1423" spans="2:4" x14ac:dyDescent="0.25">
      <c r="B1423" s="50" t="s">
        <v>100</v>
      </c>
      <c r="C1423" s="50">
        <v>323</v>
      </c>
      <c r="D1423" s="51" t="s">
        <v>70</v>
      </c>
    </row>
    <row r="1424" spans="2:4" x14ac:dyDescent="0.25">
      <c r="B1424" s="50" t="s">
        <v>100</v>
      </c>
      <c r="C1424" s="50">
        <v>450</v>
      </c>
      <c r="D1424" s="51" t="s">
        <v>70</v>
      </c>
    </row>
    <row r="1425" spans="2:4" x14ac:dyDescent="0.25">
      <c r="B1425" s="50" t="s">
        <v>100</v>
      </c>
      <c r="C1425" s="50">
        <v>464</v>
      </c>
      <c r="D1425" s="51" t="s">
        <v>70</v>
      </c>
    </row>
    <row r="1426" spans="2:4" x14ac:dyDescent="0.25">
      <c r="B1426" s="50" t="s">
        <v>100</v>
      </c>
      <c r="C1426" s="50">
        <v>333</v>
      </c>
      <c r="D1426" s="51" t="s">
        <v>70</v>
      </c>
    </row>
    <row r="1427" spans="2:4" x14ac:dyDescent="0.25">
      <c r="B1427" s="50" t="s">
        <v>100</v>
      </c>
      <c r="C1427" s="50">
        <v>361</v>
      </c>
      <c r="D1427" s="51" t="s">
        <v>70</v>
      </c>
    </row>
    <row r="1428" spans="2:4" x14ac:dyDescent="0.25">
      <c r="B1428" s="50" t="s">
        <v>100</v>
      </c>
      <c r="C1428" s="50">
        <v>403</v>
      </c>
      <c r="D1428" s="51" t="s">
        <v>70</v>
      </c>
    </row>
    <row r="1429" spans="2:4" x14ac:dyDescent="0.25">
      <c r="B1429" s="50" t="s">
        <v>100</v>
      </c>
      <c r="C1429" s="50">
        <v>503</v>
      </c>
      <c r="D1429" s="51" t="s">
        <v>70</v>
      </c>
    </row>
    <row r="1430" spans="2:4" x14ac:dyDescent="0.25">
      <c r="B1430" s="50" t="s">
        <v>100</v>
      </c>
      <c r="C1430" s="50">
        <v>463</v>
      </c>
      <c r="D1430" s="51" t="s">
        <v>70</v>
      </c>
    </row>
    <row r="1431" spans="2:4" x14ac:dyDescent="0.25">
      <c r="B1431" s="50" t="s">
        <v>100</v>
      </c>
      <c r="C1431" s="50">
        <v>519</v>
      </c>
      <c r="D1431" s="51" t="s">
        <v>70</v>
      </c>
    </row>
    <row r="1432" spans="2:4" x14ac:dyDescent="0.25">
      <c r="B1432" s="50" t="s">
        <v>100</v>
      </c>
      <c r="C1432" s="50">
        <v>454</v>
      </c>
      <c r="D1432" s="51" t="s">
        <v>70</v>
      </c>
    </row>
    <row r="1433" spans="2:4" x14ac:dyDescent="0.25">
      <c r="B1433" s="50" t="s">
        <v>100</v>
      </c>
      <c r="C1433" s="50">
        <v>489</v>
      </c>
      <c r="D1433" s="51" t="s">
        <v>70</v>
      </c>
    </row>
    <row r="1434" spans="2:4" x14ac:dyDescent="0.25">
      <c r="B1434" s="50" t="s">
        <v>100</v>
      </c>
      <c r="C1434" s="50">
        <v>494</v>
      </c>
      <c r="D1434" s="51" t="s">
        <v>70</v>
      </c>
    </row>
    <row r="1435" spans="2:4" x14ac:dyDescent="0.25">
      <c r="B1435" s="50" t="s">
        <v>100</v>
      </c>
      <c r="C1435" s="50">
        <v>543</v>
      </c>
      <c r="D1435" s="51" t="s">
        <v>70</v>
      </c>
    </row>
    <row r="1436" spans="2:4" x14ac:dyDescent="0.25">
      <c r="B1436" s="50" t="s">
        <v>100</v>
      </c>
      <c r="C1436" s="50">
        <v>510</v>
      </c>
      <c r="D1436" s="51" t="s">
        <v>70</v>
      </c>
    </row>
    <row r="1437" spans="2:4" x14ac:dyDescent="0.25">
      <c r="B1437" s="50" t="s">
        <v>100</v>
      </c>
      <c r="C1437" s="50">
        <v>472</v>
      </c>
      <c r="D1437" s="51" t="s">
        <v>70</v>
      </c>
    </row>
    <row r="1438" spans="2:4" x14ac:dyDescent="0.25">
      <c r="B1438" s="50" t="s">
        <v>100</v>
      </c>
      <c r="C1438" s="50">
        <v>424</v>
      </c>
      <c r="D1438" s="51" t="s">
        <v>70</v>
      </c>
    </row>
    <row r="1439" spans="2:4" x14ac:dyDescent="0.25">
      <c r="B1439" s="50" t="s">
        <v>100</v>
      </c>
      <c r="C1439" s="50">
        <v>513</v>
      </c>
      <c r="D1439" s="51" t="s">
        <v>70</v>
      </c>
    </row>
    <row r="1440" spans="2:4" x14ac:dyDescent="0.25">
      <c r="B1440" s="50" t="s">
        <v>100</v>
      </c>
      <c r="C1440" s="50">
        <v>385</v>
      </c>
      <c r="D1440" s="51" t="s">
        <v>70</v>
      </c>
    </row>
    <row r="1441" spans="2:4" x14ac:dyDescent="0.25">
      <c r="B1441" s="50" t="s">
        <v>100</v>
      </c>
      <c r="C1441" s="50">
        <v>533</v>
      </c>
      <c r="D1441" s="51" t="s">
        <v>70</v>
      </c>
    </row>
    <row r="1442" spans="2:4" x14ac:dyDescent="0.25">
      <c r="B1442" s="50" t="s">
        <v>100</v>
      </c>
      <c r="C1442" s="50">
        <v>416</v>
      </c>
      <c r="D1442" s="51" t="s">
        <v>70</v>
      </c>
    </row>
    <row r="1443" spans="2:4" x14ac:dyDescent="0.25">
      <c r="B1443" s="50" t="s">
        <v>100</v>
      </c>
      <c r="C1443" s="50">
        <v>313</v>
      </c>
      <c r="D1443" s="51" t="s">
        <v>70</v>
      </c>
    </row>
    <row r="1444" spans="2:4" x14ac:dyDescent="0.25">
      <c r="B1444" s="50" t="s">
        <v>100</v>
      </c>
      <c r="C1444" s="50">
        <v>468</v>
      </c>
      <c r="D1444" s="51" t="s">
        <v>70</v>
      </c>
    </row>
    <row r="1445" spans="2:4" x14ac:dyDescent="0.25">
      <c r="B1445" s="50" t="s">
        <v>100</v>
      </c>
      <c r="C1445" s="50">
        <v>509</v>
      </c>
      <c r="D1445" s="51" t="s">
        <v>70</v>
      </c>
    </row>
    <row r="1446" spans="2:4" x14ac:dyDescent="0.25">
      <c r="B1446" s="50" t="s">
        <v>100</v>
      </c>
      <c r="C1446" s="50">
        <v>417</v>
      </c>
      <c r="D1446" s="51" t="s">
        <v>70</v>
      </c>
    </row>
    <row r="1447" spans="2:4" x14ac:dyDescent="0.25">
      <c r="B1447" s="50" t="s">
        <v>100</v>
      </c>
      <c r="C1447" s="50">
        <v>518</v>
      </c>
      <c r="D1447" s="51" t="s">
        <v>70</v>
      </c>
    </row>
    <row r="1448" spans="2:4" x14ac:dyDescent="0.25">
      <c r="B1448" s="50" t="s">
        <v>100</v>
      </c>
      <c r="C1448" s="50">
        <v>314</v>
      </c>
      <c r="D1448" s="51" t="s">
        <v>70</v>
      </c>
    </row>
    <row r="1449" spans="2:4" x14ac:dyDescent="0.25">
      <c r="B1449" s="50" t="s">
        <v>100</v>
      </c>
      <c r="C1449" s="50">
        <v>546</v>
      </c>
      <c r="D1449" s="51" t="s">
        <v>70</v>
      </c>
    </row>
    <row r="1450" spans="2:4" x14ac:dyDescent="0.25">
      <c r="B1450" s="50" t="s">
        <v>100</v>
      </c>
      <c r="C1450" s="50">
        <v>392</v>
      </c>
      <c r="D1450" s="51" t="s">
        <v>70</v>
      </c>
    </row>
    <row r="1451" spans="2:4" x14ac:dyDescent="0.25">
      <c r="B1451" s="50" t="s">
        <v>100</v>
      </c>
      <c r="C1451" s="50">
        <v>479</v>
      </c>
      <c r="D1451" s="51" t="s">
        <v>71</v>
      </c>
    </row>
    <row r="1452" spans="2:4" x14ac:dyDescent="0.25">
      <c r="B1452" s="50" t="s">
        <v>100</v>
      </c>
      <c r="C1452" s="50">
        <v>326</v>
      </c>
      <c r="D1452" s="51" t="s">
        <v>71</v>
      </c>
    </row>
    <row r="1453" spans="2:4" x14ac:dyDescent="0.25">
      <c r="B1453" s="50" t="s">
        <v>100</v>
      </c>
      <c r="C1453" s="50">
        <v>495</v>
      </c>
      <c r="D1453" s="51" t="s">
        <v>71</v>
      </c>
    </row>
    <row r="1454" spans="2:4" x14ac:dyDescent="0.25">
      <c r="B1454" s="50" t="s">
        <v>100</v>
      </c>
      <c r="C1454" s="50">
        <v>433</v>
      </c>
      <c r="D1454" s="51" t="s">
        <v>71</v>
      </c>
    </row>
    <row r="1455" spans="2:4" x14ac:dyDescent="0.25">
      <c r="B1455" s="50" t="s">
        <v>100</v>
      </c>
      <c r="C1455" s="50">
        <v>532</v>
      </c>
      <c r="D1455" s="51" t="s">
        <v>71</v>
      </c>
    </row>
    <row r="1456" spans="2:4" x14ac:dyDescent="0.25">
      <c r="B1456" s="50" t="s">
        <v>100</v>
      </c>
      <c r="C1456" s="50">
        <v>438</v>
      </c>
      <c r="D1456" s="51" t="s">
        <v>71</v>
      </c>
    </row>
    <row r="1457" spans="2:4" x14ac:dyDescent="0.25">
      <c r="B1457" s="50" t="s">
        <v>100</v>
      </c>
      <c r="C1457" s="50">
        <v>402</v>
      </c>
      <c r="D1457" s="51" t="s">
        <v>71</v>
      </c>
    </row>
    <row r="1458" spans="2:4" x14ac:dyDescent="0.25">
      <c r="B1458" s="50" t="s">
        <v>100</v>
      </c>
      <c r="C1458" s="50">
        <v>201</v>
      </c>
      <c r="D1458" s="51" t="s">
        <v>71</v>
      </c>
    </row>
    <row r="1459" spans="2:4" x14ac:dyDescent="0.25">
      <c r="B1459" s="50" t="s">
        <v>100</v>
      </c>
      <c r="C1459" s="50">
        <v>514</v>
      </c>
      <c r="D1459" s="51" t="s">
        <v>71</v>
      </c>
    </row>
    <row r="1460" spans="2:4" x14ac:dyDescent="0.25">
      <c r="B1460" s="50" t="s">
        <v>100</v>
      </c>
      <c r="C1460" s="50">
        <v>474</v>
      </c>
      <c r="D1460" s="51" t="s">
        <v>71</v>
      </c>
    </row>
    <row r="1461" spans="2:4" x14ac:dyDescent="0.25">
      <c r="B1461" s="50" t="s">
        <v>100</v>
      </c>
      <c r="C1461" s="50">
        <v>304</v>
      </c>
      <c r="D1461" s="51" t="s">
        <v>71</v>
      </c>
    </row>
    <row r="1462" spans="2:4" x14ac:dyDescent="0.25">
      <c r="B1462" s="50" t="s">
        <v>100</v>
      </c>
      <c r="C1462" s="50">
        <v>447</v>
      </c>
      <c r="D1462" s="51" t="s">
        <v>71</v>
      </c>
    </row>
    <row r="1463" spans="2:4" x14ac:dyDescent="0.25">
      <c r="B1463" s="50" t="s">
        <v>100</v>
      </c>
      <c r="C1463" s="50">
        <v>322</v>
      </c>
      <c r="D1463" s="51" t="s">
        <v>71</v>
      </c>
    </row>
    <row r="1464" spans="2:4" x14ac:dyDescent="0.25">
      <c r="B1464" s="50" t="s">
        <v>100</v>
      </c>
      <c r="C1464" s="50">
        <v>487</v>
      </c>
      <c r="D1464" s="51" t="s">
        <v>71</v>
      </c>
    </row>
    <row r="1465" spans="2:4" x14ac:dyDescent="0.25">
      <c r="B1465" s="50" t="s">
        <v>100</v>
      </c>
      <c r="C1465" s="50">
        <v>522</v>
      </c>
      <c r="D1465" s="51" t="s">
        <v>71</v>
      </c>
    </row>
    <row r="1466" spans="2:4" x14ac:dyDescent="0.25">
      <c r="B1466" s="50" t="s">
        <v>100</v>
      </c>
      <c r="C1466" s="50">
        <v>478</v>
      </c>
      <c r="D1466" s="51" t="s">
        <v>71</v>
      </c>
    </row>
    <row r="1467" spans="2:4" x14ac:dyDescent="0.25">
      <c r="B1467" s="50" t="s">
        <v>100</v>
      </c>
      <c r="C1467" s="50">
        <v>523</v>
      </c>
      <c r="D1467" s="51" t="s">
        <v>71</v>
      </c>
    </row>
    <row r="1468" spans="2:4" x14ac:dyDescent="0.25">
      <c r="B1468" s="50" t="s">
        <v>100</v>
      </c>
      <c r="C1468" s="50">
        <v>332</v>
      </c>
      <c r="D1468" s="51" t="s">
        <v>71</v>
      </c>
    </row>
    <row r="1469" spans="2:4" x14ac:dyDescent="0.25">
      <c r="B1469" s="50" t="s">
        <v>100</v>
      </c>
      <c r="C1469" s="50">
        <v>328</v>
      </c>
      <c r="D1469" s="51" t="s">
        <v>71</v>
      </c>
    </row>
    <row r="1470" spans="2:4" x14ac:dyDescent="0.25">
      <c r="B1470" s="50" t="s">
        <v>100</v>
      </c>
      <c r="C1470" s="50">
        <v>377</v>
      </c>
      <c r="D1470" s="51" t="s">
        <v>71</v>
      </c>
    </row>
    <row r="1471" spans="2:4" x14ac:dyDescent="0.25">
      <c r="B1471" s="50" t="s">
        <v>100</v>
      </c>
      <c r="C1471" s="50">
        <v>308</v>
      </c>
      <c r="D1471" s="51" t="s">
        <v>71</v>
      </c>
    </row>
    <row r="1472" spans="2:4" x14ac:dyDescent="0.25">
      <c r="B1472" s="50" t="s">
        <v>100</v>
      </c>
      <c r="C1472" s="50">
        <v>544</v>
      </c>
      <c r="D1472" s="51" t="s">
        <v>71</v>
      </c>
    </row>
    <row r="1473" spans="2:4" x14ac:dyDescent="0.25">
      <c r="B1473" s="50" t="s">
        <v>100</v>
      </c>
      <c r="C1473" s="50">
        <v>421</v>
      </c>
      <c r="D1473" s="51" t="s">
        <v>71</v>
      </c>
    </row>
    <row r="1474" spans="2:4" x14ac:dyDescent="0.25">
      <c r="B1474" s="50" t="s">
        <v>100</v>
      </c>
      <c r="C1474" s="50">
        <v>504</v>
      </c>
      <c r="D1474" s="51" t="s">
        <v>71</v>
      </c>
    </row>
    <row r="1475" spans="2:4" x14ac:dyDescent="0.25">
      <c r="B1475" s="50" t="s">
        <v>100</v>
      </c>
      <c r="C1475" s="50">
        <v>528</v>
      </c>
      <c r="D1475" s="51" t="s">
        <v>71</v>
      </c>
    </row>
    <row r="1476" spans="2:4" x14ac:dyDescent="0.25">
      <c r="B1476" s="50" t="s">
        <v>100</v>
      </c>
      <c r="C1476" s="50">
        <v>455</v>
      </c>
      <c r="D1476" s="51" t="s">
        <v>71</v>
      </c>
    </row>
    <row r="1477" spans="2:4" x14ac:dyDescent="0.25">
      <c r="B1477" s="50" t="s">
        <v>100</v>
      </c>
      <c r="C1477" s="50">
        <v>490</v>
      </c>
      <c r="D1477" s="51" t="s">
        <v>71</v>
      </c>
    </row>
    <row r="1478" spans="2:4" x14ac:dyDescent="0.25">
      <c r="B1478" s="50" t="s">
        <v>100</v>
      </c>
      <c r="C1478" s="50">
        <v>511</v>
      </c>
      <c r="D1478" s="51" t="s">
        <v>71</v>
      </c>
    </row>
    <row r="1479" spans="2:4" x14ac:dyDescent="0.25">
      <c r="B1479" s="50" t="s">
        <v>100</v>
      </c>
      <c r="C1479" s="50">
        <v>462</v>
      </c>
      <c r="D1479" s="51" t="s">
        <v>71</v>
      </c>
    </row>
    <row r="1480" spans="2:4" x14ac:dyDescent="0.25">
      <c r="B1480" s="50" t="s">
        <v>100</v>
      </c>
      <c r="C1480" s="50">
        <v>413</v>
      </c>
      <c r="D1480" s="51" t="s">
        <v>71</v>
      </c>
    </row>
    <row r="1481" spans="2:4" x14ac:dyDescent="0.25">
      <c r="B1481" s="50" t="s">
        <v>100</v>
      </c>
      <c r="C1481" s="50">
        <v>405</v>
      </c>
      <c r="D1481" s="51" t="s">
        <v>71</v>
      </c>
    </row>
    <row r="1482" spans="2:4" x14ac:dyDescent="0.25">
      <c r="B1482" s="50" t="s">
        <v>100</v>
      </c>
      <c r="C1482" s="50">
        <v>423</v>
      </c>
      <c r="D1482" s="51" t="s">
        <v>71</v>
      </c>
    </row>
    <row r="1483" spans="2:4" x14ac:dyDescent="0.25">
      <c r="B1483" s="50" t="s">
        <v>100</v>
      </c>
      <c r="C1483" s="50">
        <v>415</v>
      </c>
      <c r="D1483" s="51" t="s">
        <v>71</v>
      </c>
    </row>
    <row r="1484" spans="2:4" x14ac:dyDescent="0.25">
      <c r="B1484" s="50" t="s">
        <v>100</v>
      </c>
      <c r="C1484" s="50">
        <v>493</v>
      </c>
      <c r="D1484" s="51" t="s">
        <v>71</v>
      </c>
    </row>
    <row r="1485" spans="2:4" x14ac:dyDescent="0.25">
      <c r="B1485" s="50" t="s">
        <v>100</v>
      </c>
      <c r="C1485" s="50">
        <v>397</v>
      </c>
      <c r="D1485" s="51" t="s">
        <v>71</v>
      </c>
    </row>
    <row r="1486" spans="2:4" x14ac:dyDescent="0.25">
      <c r="B1486" s="50" t="s">
        <v>100</v>
      </c>
      <c r="C1486" s="50">
        <v>331</v>
      </c>
      <c r="D1486" s="51" t="s">
        <v>71</v>
      </c>
    </row>
    <row r="1487" spans="2:4" x14ac:dyDescent="0.25">
      <c r="B1487" s="50" t="s">
        <v>100</v>
      </c>
      <c r="C1487" s="50">
        <v>321</v>
      </c>
      <c r="D1487" s="51" t="s">
        <v>71</v>
      </c>
    </row>
    <row r="1488" spans="2:4" x14ac:dyDescent="0.25">
      <c r="B1488" s="50" t="s">
        <v>100</v>
      </c>
      <c r="C1488" s="50">
        <v>477</v>
      </c>
      <c r="D1488" s="51" t="s">
        <v>71</v>
      </c>
    </row>
    <row r="1489" spans="2:4" x14ac:dyDescent="0.25">
      <c r="B1489" s="50" t="s">
        <v>100</v>
      </c>
      <c r="C1489" s="50">
        <v>436</v>
      </c>
      <c r="D1489" s="51" t="s">
        <v>71</v>
      </c>
    </row>
    <row r="1490" spans="2:4" x14ac:dyDescent="0.25">
      <c r="B1490" s="50" t="s">
        <v>100</v>
      </c>
      <c r="C1490" s="50">
        <v>334</v>
      </c>
      <c r="D1490" s="51" t="s">
        <v>71</v>
      </c>
    </row>
    <row r="1491" spans="2:4" x14ac:dyDescent="0.25">
      <c r="B1491" s="50" t="s">
        <v>100</v>
      </c>
      <c r="C1491" s="50">
        <v>370</v>
      </c>
      <c r="D1491" s="51" t="s">
        <v>71</v>
      </c>
    </row>
    <row r="1492" spans="2:4" x14ac:dyDescent="0.25">
      <c r="B1492" s="50" t="s">
        <v>100</v>
      </c>
      <c r="C1492" s="50">
        <v>428</v>
      </c>
      <c r="D1492" s="51" t="s">
        <v>71</v>
      </c>
    </row>
    <row r="1493" spans="2:4" x14ac:dyDescent="0.25">
      <c r="B1493" s="50" t="s">
        <v>100</v>
      </c>
      <c r="C1493" s="50">
        <v>393</v>
      </c>
      <c r="D1493" s="51" t="s">
        <v>71</v>
      </c>
    </row>
    <row r="1494" spans="2:4" x14ac:dyDescent="0.25">
      <c r="B1494" s="50" t="s">
        <v>100</v>
      </c>
      <c r="C1494" s="50">
        <v>529</v>
      </c>
      <c r="D1494" s="51" t="s">
        <v>71</v>
      </c>
    </row>
    <row r="1495" spans="2:4" x14ac:dyDescent="0.25">
      <c r="B1495" s="50" t="s">
        <v>100</v>
      </c>
      <c r="C1495" s="50">
        <v>452</v>
      </c>
      <c r="D1495" s="51" t="s">
        <v>71</v>
      </c>
    </row>
    <row r="1496" spans="2:4" x14ac:dyDescent="0.25">
      <c r="B1496" s="50" t="s">
        <v>100</v>
      </c>
      <c r="C1496" s="50">
        <v>317</v>
      </c>
      <c r="D1496" s="51" t="s">
        <v>71</v>
      </c>
    </row>
    <row r="1497" spans="2:4" x14ac:dyDescent="0.25">
      <c r="B1497" s="50" t="s">
        <v>100</v>
      </c>
      <c r="C1497" s="50">
        <v>432</v>
      </c>
      <c r="D1497" s="51" t="s">
        <v>71</v>
      </c>
    </row>
    <row r="1498" spans="2:4" x14ac:dyDescent="0.25">
      <c r="B1498" s="50" t="s">
        <v>100</v>
      </c>
      <c r="C1498" s="50">
        <v>488</v>
      </c>
      <c r="D1498" s="51" t="s">
        <v>71</v>
      </c>
    </row>
    <row r="1499" spans="2:4" x14ac:dyDescent="0.25">
      <c r="B1499" s="50" t="s">
        <v>100</v>
      </c>
      <c r="C1499" s="50">
        <v>537</v>
      </c>
      <c r="D1499" s="51" t="s">
        <v>71</v>
      </c>
    </row>
    <row r="1500" spans="2:4" x14ac:dyDescent="0.25">
      <c r="B1500" s="50" t="s">
        <v>100</v>
      </c>
      <c r="C1500" s="50">
        <v>497</v>
      </c>
      <c r="D1500" s="51" t="s">
        <v>71</v>
      </c>
    </row>
    <row r="1501" spans="2:4" x14ac:dyDescent="0.25">
      <c r="B1501" s="50" t="s">
        <v>100</v>
      </c>
      <c r="C1501" s="50">
        <v>505</v>
      </c>
      <c r="D1501" s="51" t="s">
        <v>71</v>
      </c>
    </row>
    <row r="1502" spans="2:4" x14ac:dyDescent="0.25">
      <c r="B1502" s="50" t="s">
        <v>100</v>
      </c>
      <c r="C1502" s="50">
        <v>541</v>
      </c>
      <c r="D1502" s="51" t="s">
        <v>71</v>
      </c>
    </row>
    <row r="1503" spans="2:4" x14ac:dyDescent="0.25">
      <c r="B1503" s="50" t="s">
        <v>100</v>
      </c>
      <c r="C1503" s="50">
        <v>319</v>
      </c>
      <c r="D1503" s="51" t="s">
        <v>71</v>
      </c>
    </row>
    <row r="1504" spans="2:4" x14ac:dyDescent="0.25">
      <c r="B1504" s="50" t="s">
        <v>100</v>
      </c>
      <c r="C1504" s="50">
        <v>526</v>
      </c>
      <c r="D1504" s="51" t="s">
        <v>71</v>
      </c>
    </row>
    <row r="1505" spans="2:4" x14ac:dyDescent="0.25">
      <c r="B1505" s="50" t="s">
        <v>100</v>
      </c>
      <c r="C1505" s="50">
        <v>501</v>
      </c>
      <c r="D1505" s="51" t="s">
        <v>71</v>
      </c>
    </row>
    <row r="1506" spans="2:4" x14ac:dyDescent="0.25">
      <c r="B1506" s="50" t="s">
        <v>100</v>
      </c>
      <c r="C1506" s="50">
        <v>467</v>
      </c>
      <c r="D1506" s="51" t="s">
        <v>71</v>
      </c>
    </row>
    <row r="1507" spans="2:4" x14ac:dyDescent="0.25">
      <c r="B1507" s="50" t="s">
        <v>100</v>
      </c>
      <c r="C1507" s="50">
        <v>507</v>
      </c>
      <c r="D1507" s="51" t="s">
        <v>71</v>
      </c>
    </row>
    <row r="1508" spans="2:4" x14ac:dyDescent="0.25">
      <c r="B1508" s="50" t="s">
        <v>100</v>
      </c>
      <c r="C1508" s="50">
        <v>491</v>
      </c>
      <c r="D1508" s="51" t="s">
        <v>72</v>
      </c>
    </row>
    <row r="1509" spans="2:4" x14ac:dyDescent="0.25">
      <c r="B1509" s="50" t="s">
        <v>100</v>
      </c>
      <c r="C1509" s="50">
        <v>406</v>
      </c>
      <c r="D1509" s="51" t="s">
        <v>72</v>
      </c>
    </row>
    <row r="1510" spans="2:4" x14ac:dyDescent="0.25">
      <c r="B1510" s="50" t="s">
        <v>100</v>
      </c>
      <c r="C1510" s="50">
        <v>356</v>
      </c>
      <c r="D1510" s="51" t="s">
        <v>72</v>
      </c>
    </row>
    <row r="1511" spans="2:4" x14ac:dyDescent="0.25">
      <c r="B1511" s="50" t="s">
        <v>100</v>
      </c>
      <c r="C1511" s="50">
        <v>456</v>
      </c>
      <c r="D1511" s="51" t="s">
        <v>72</v>
      </c>
    </row>
    <row r="1512" spans="2:4" x14ac:dyDescent="0.25">
      <c r="B1512" s="50" t="s">
        <v>100</v>
      </c>
      <c r="C1512" s="50">
        <v>465</v>
      </c>
      <c r="D1512" s="51" t="s">
        <v>72</v>
      </c>
    </row>
    <row r="1513" spans="2:4" x14ac:dyDescent="0.25">
      <c r="B1513" s="50" t="s">
        <v>100</v>
      </c>
      <c r="C1513" s="50">
        <v>502</v>
      </c>
      <c r="D1513" s="51" t="s">
        <v>72</v>
      </c>
    </row>
    <row r="1514" spans="2:4" x14ac:dyDescent="0.25">
      <c r="B1514" s="50" t="s">
        <v>100</v>
      </c>
      <c r="C1514" s="50">
        <v>335</v>
      </c>
      <c r="D1514" s="51" t="s">
        <v>72</v>
      </c>
    </row>
    <row r="1515" spans="2:4" x14ac:dyDescent="0.25">
      <c r="B1515" s="50" t="s">
        <v>100</v>
      </c>
      <c r="C1515" s="50">
        <v>305</v>
      </c>
      <c r="D1515" s="51" t="s">
        <v>72</v>
      </c>
    </row>
    <row r="1516" spans="2:4" x14ac:dyDescent="0.25">
      <c r="B1516" s="50" t="s">
        <v>100</v>
      </c>
      <c r="C1516" s="50">
        <v>492</v>
      </c>
      <c r="D1516" s="51" t="s">
        <v>72</v>
      </c>
    </row>
    <row r="1517" spans="2:4" x14ac:dyDescent="0.25">
      <c r="B1517" s="50" t="s">
        <v>100</v>
      </c>
      <c r="C1517" s="50">
        <v>429</v>
      </c>
      <c r="D1517" s="51" t="s">
        <v>72</v>
      </c>
    </row>
    <row r="1518" spans="2:4" x14ac:dyDescent="0.25">
      <c r="B1518" s="50" t="s">
        <v>100</v>
      </c>
      <c r="C1518" s="50">
        <v>358</v>
      </c>
      <c r="D1518" s="51" t="s">
        <v>72</v>
      </c>
    </row>
    <row r="1519" spans="2:4" x14ac:dyDescent="0.25">
      <c r="B1519" s="50" t="s">
        <v>100</v>
      </c>
      <c r="C1519" s="50">
        <v>481</v>
      </c>
      <c r="D1519" s="51" t="s">
        <v>72</v>
      </c>
    </row>
    <row r="1520" spans="2:4" x14ac:dyDescent="0.25">
      <c r="B1520" s="50" t="s">
        <v>100</v>
      </c>
      <c r="C1520" s="50">
        <v>407</v>
      </c>
      <c r="D1520" s="51" t="s">
        <v>72</v>
      </c>
    </row>
    <row r="1521" spans="2:4" x14ac:dyDescent="0.25">
      <c r="B1521" s="50" t="s">
        <v>100</v>
      </c>
      <c r="C1521" s="50">
        <v>538</v>
      </c>
      <c r="D1521" s="51" t="s">
        <v>72</v>
      </c>
    </row>
    <row r="1522" spans="2:4" x14ac:dyDescent="0.25">
      <c r="B1522" s="50" t="s">
        <v>100</v>
      </c>
      <c r="C1522" s="50">
        <v>422</v>
      </c>
      <c r="D1522" s="51" t="s">
        <v>72</v>
      </c>
    </row>
    <row r="1523" spans="2:4" x14ac:dyDescent="0.25">
      <c r="B1523" s="50" t="s">
        <v>100</v>
      </c>
      <c r="C1523" s="50">
        <v>347</v>
      </c>
      <c r="D1523" s="51" t="s">
        <v>72</v>
      </c>
    </row>
    <row r="1524" spans="2:4" x14ac:dyDescent="0.25">
      <c r="B1524" s="50" t="s">
        <v>100</v>
      </c>
      <c r="C1524" s="50">
        <v>475</v>
      </c>
      <c r="D1524" s="51" t="s">
        <v>72</v>
      </c>
    </row>
    <row r="1525" spans="2:4" x14ac:dyDescent="0.25">
      <c r="B1525" s="50" t="s">
        <v>100</v>
      </c>
      <c r="C1525" s="50">
        <v>531</v>
      </c>
      <c r="D1525" s="51" t="s">
        <v>72</v>
      </c>
    </row>
    <row r="1526" spans="2:4" x14ac:dyDescent="0.25">
      <c r="B1526" s="50" t="s">
        <v>100</v>
      </c>
      <c r="C1526" s="50">
        <v>516</v>
      </c>
      <c r="D1526" s="51" t="s">
        <v>72</v>
      </c>
    </row>
    <row r="1527" spans="2:4" x14ac:dyDescent="0.25">
      <c r="B1527" s="50" t="s">
        <v>100</v>
      </c>
      <c r="C1527" s="50">
        <v>451</v>
      </c>
      <c r="D1527" s="51" t="s">
        <v>72</v>
      </c>
    </row>
    <row r="1528" spans="2:4" x14ac:dyDescent="0.25">
      <c r="B1528" s="50" t="s">
        <v>100</v>
      </c>
      <c r="C1528" s="50">
        <v>540</v>
      </c>
      <c r="D1528" s="51" t="s">
        <v>73</v>
      </c>
    </row>
    <row r="1529" spans="2:4" x14ac:dyDescent="0.25">
      <c r="B1529" s="50" t="s">
        <v>100</v>
      </c>
      <c r="C1529" s="50">
        <v>536</v>
      </c>
      <c r="D1529" s="51" t="s">
        <v>73</v>
      </c>
    </row>
    <row r="1530" spans="2:4" x14ac:dyDescent="0.25">
      <c r="B1530" s="50" t="s">
        <v>100</v>
      </c>
      <c r="C1530" s="50">
        <v>484</v>
      </c>
      <c r="D1530" s="51" t="s">
        <v>73</v>
      </c>
    </row>
    <row r="1531" spans="2:4" x14ac:dyDescent="0.25">
      <c r="B1531" s="50" t="s">
        <v>100</v>
      </c>
      <c r="C1531" s="50">
        <v>520</v>
      </c>
      <c r="D1531" s="51" t="s">
        <v>73</v>
      </c>
    </row>
    <row r="1532" spans="2:4" x14ac:dyDescent="0.25">
      <c r="B1532" s="50" t="s">
        <v>100</v>
      </c>
      <c r="C1532" s="50">
        <v>539</v>
      </c>
      <c r="D1532" s="51" t="s">
        <v>73</v>
      </c>
    </row>
  </sheetData>
  <autoFilter ref="B3:D1532" xr:uid="{618D0B33-BB2F-44AC-917B-76A04E0D43E7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38952-914C-4A66-811E-C00F349CAE39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Main</vt:lpstr>
      <vt:lpstr>Item_Code_allocation_table</vt:lpstr>
      <vt:lpstr>DPS_Code_allocation_table</vt:lpstr>
      <vt:lpstr>DCS_Pattern</vt:lpstr>
      <vt:lpstr>Store_Group</vt:lpstr>
      <vt:lpstr>Exclusions</vt:lpstr>
    </vt:vector>
  </TitlesOfParts>
  <Company>Earthbound Trading 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Wesley Dourado</dc:creator>
  <cp:lastModifiedBy>Wesley Dourado</cp:lastModifiedBy>
  <dcterms:created xsi:type="dcterms:W3CDTF">2026-08-11T18:06:53Z</dcterms:created>
  <dcterms:modified xsi:type="dcterms:W3CDTF">2026-08-27T16:21:00Z</dcterms:modified>
</cp:coreProperties>
</file>